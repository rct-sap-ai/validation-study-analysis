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ECE0A110-10D0-5D4F-854D-0EC70B56AFAB}" xr6:coauthVersionLast="47" xr6:coauthVersionMax="47" xr10:uidLastSave="{00000000-0000-0000-0000-000000000000}"/>
  <bookViews>
    <workbookView xWindow="0" yWindow="600" windowWidth="38400" windowHeight="21000" activeTab="1"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J67" i="3"/>
  <c r="I67" i="3"/>
  <c r="M67" i="3" s="1"/>
  <c r="O66" i="3"/>
  <c r="N66" i="3"/>
  <c r="K66" i="3"/>
  <c r="J66" i="3"/>
  <c r="M66" i="3" s="1"/>
  <c r="I66" i="3"/>
  <c r="O65" i="3"/>
  <c r="N65" i="3"/>
  <c r="M65" i="3"/>
  <c r="K65" i="3"/>
  <c r="J65" i="3"/>
  <c r="I65" i="3"/>
  <c r="O64" i="3"/>
  <c r="N64" i="3"/>
  <c r="K64" i="3"/>
  <c r="J64" i="3"/>
  <c r="I64" i="3"/>
  <c r="M64" i="3" s="1"/>
  <c r="O63" i="3"/>
  <c r="N63" i="3"/>
  <c r="K63" i="3"/>
  <c r="J63" i="3"/>
  <c r="I63" i="3"/>
  <c r="M63" i="3" s="1"/>
  <c r="O62" i="3"/>
  <c r="N62" i="3"/>
  <c r="K62" i="3"/>
  <c r="J62" i="3"/>
  <c r="M62" i="3" s="1"/>
  <c r="I62" i="3"/>
  <c r="O61" i="3"/>
  <c r="N61" i="3"/>
  <c r="M61" i="3"/>
  <c r="K61" i="3"/>
  <c r="J61" i="3"/>
  <c r="I61" i="3"/>
  <c r="O60" i="3"/>
  <c r="N60" i="3"/>
  <c r="K60" i="3"/>
  <c r="J60" i="3"/>
  <c r="I60" i="3"/>
  <c r="M60" i="3" s="1"/>
  <c r="O59" i="3"/>
  <c r="N59" i="3"/>
  <c r="K59" i="3"/>
  <c r="J59" i="3"/>
  <c r="I59" i="3"/>
  <c r="M59" i="3" s="1"/>
  <c r="O58" i="3"/>
  <c r="N58" i="3"/>
  <c r="K58" i="3"/>
  <c r="J58" i="3"/>
  <c r="M58" i="3" s="1"/>
  <c r="I58" i="3"/>
  <c r="O57" i="3"/>
  <c r="N57" i="3"/>
  <c r="M57" i="3"/>
  <c r="K57" i="3"/>
  <c r="J57" i="3"/>
  <c r="I57" i="3"/>
  <c r="O56" i="3"/>
  <c r="N56" i="3"/>
  <c r="K56" i="3"/>
  <c r="J56" i="3"/>
  <c r="I56" i="3"/>
  <c r="M56" i="3" s="1"/>
  <c r="O55" i="3"/>
  <c r="N55" i="3"/>
  <c r="M55" i="3"/>
  <c r="K55" i="3"/>
  <c r="J55" i="3"/>
  <c r="I55" i="3"/>
  <c r="O54" i="3"/>
  <c r="N54" i="3"/>
  <c r="K54" i="3"/>
  <c r="J54" i="3"/>
  <c r="M54" i="3" s="1"/>
  <c r="I54" i="3"/>
  <c r="O53" i="3"/>
  <c r="N53" i="3"/>
  <c r="M53" i="3"/>
  <c r="K53" i="3"/>
  <c r="J53" i="3"/>
  <c r="I53" i="3"/>
  <c r="O52" i="3"/>
  <c r="N52" i="3"/>
  <c r="K52" i="3"/>
  <c r="J52" i="3"/>
  <c r="I52" i="3"/>
  <c r="M52" i="3" s="1"/>
  <c r="O51" i="3"/>
  <c r="N51" i="3"/>
  <c r="M51" i="3"/>
  <c r="K51" i="3"/>
  <c r="J51" i="3"/>
  <c r="I51" i="3"/>
  <c r="O50" i="3"/>
  <c r="N50" i="3"/>
  <c r="K50" i="3"/>
  <c r="J50" i="3"/>
  <c r="M50" i="3" s="1"/>
  <c r="I50" i="3"/>
  <c r="O48" i="3"/>
  <c r="N48" i="3"/>
  <c r="M48" i="3"/>
  <c r="K48" i="3"/>
  <c r="J48" i="3"/>
  <c r="I48" i="3"/>
  <c r="O47" i="3"/>
  <c r="N47" i="3"/>
  <c r="K47" i="3"/>
  <c r="J47" i="3"/>
  <c r="I47" i="3"/>
  <c r="M47" i="3" s="1"/>
  <c r="O46" i="3"/>
  <c r="N46" i="3"/>
  <c r="M46" i="3"/>
  <c r="K46" i="3"/>
  <c r="J46" i="3"/>
  <c r="I46" i="3"/>
  <c r="O45" i="3"/>
  <c r="N45" i="3"/>
  <c r="K45" i="3"/>
  <c r="J45" i="3"/>
  <c r="M45" i="3" s="1"/>
  <c r="I45" i="3"/>
  <c r="O44" i="3"/>
  <c r="N44" i="3"/>
  <c r="M44" i="3"/>
  <c r="K44" i="3"/>
  <c r="J44" i="3"/>
  <c r="I44" i="3"/>
  <c r="O43" i="3"/>
  <c r="N43" i="3"/>
  <c r="K43" i="3"/>
  <c r="J43" i="3"/>
  <c r="I43" i="3"/>
  <c r="M43" i="3" s="1"/>
  <c r="O42" i="3"/>
  <c r="N42" i="3"/>
  <c r="K42" i="3"/>
  <c r="J42" i="3"/>
  <c r="I42" i="3"/>
  <c r="M42" i="3" s="1"/>
  <c r="O41" i="3"/>
  <c r="N41" i="3"/>
  <c r="K41" i="3"/>
  <c r="J41" i="3"/>
  <c r="M41" i="3" s="1"/>
  <c r="I41" i="3"/>
  <c r="O40" i="3"/>
  <c r="N40" i="3"/>
  <c r="M40" i="3"/>
  <c r="K40" i="3"/>
  <c r="J40" i="3"/>
  <c r="I40" i="3"/>
  <c r="O39" i="3"/>
  <c r="N39" i="3"/>
  <c r="K39" i="3"/>
  <c r="J39" i="3"/>
  <c r="I39" i="3"/>
  <c r="M39" i="3" s="1"/>
  <c r="O38" i="3"/>
  <c r="N38" i="3"/>
  <c r="K38" i="3"/>
  <c r="J38" i="3"/>
  <c r="I38" i="3"/>
  <c r="M38" i="3" s="1"/>
  <c r="O37" i="3"/>
  <c r="N37" i="3"/>
  <c r="K37" i="3"/>
  <c r="J37" i="3"/>
  <c r="M37" i="3" s="1"/>
  <c r="I37" i="3"/>
  <c r="O36" i="3"/>
  <c r="N36" i="3"/>
  <c r="M36" i="3"/>
  <c r="K36" i="3"/>
  <c r="J36" i="3"/>
  <c r="I36" i="3"/>
  <c r="O35" i="3"/>
  <c r="N35" i="3"/>
  <c r="K35" i="3"/>
  <c r="J35" i="3"/>
  <c r="I35" i="3"/>
  <c r="M35" i="3" s="1"/>
  <c r="O34" i="3"/>
  <c r="N34" i="3"/>
  <c r="K34" i="3"/>
  <c r="J34" i="3"/>
  <c r="I34" i="3"/>
  <c r="M34" i="3" s="1"/>
  <c r="O33" i="3"/>
  <c r="N33" i="3"/>
  <c r="K33" i="3"/>
  <c r="J33" i="3"/>
  <c r="M33" i="3" s="1"/>
  <c r="I33" i="3"/>
  <c r="O32" i="3"/>
  <c r="N32" i="3"/>
  <c r="M32" i="3"/>
  <c r="K32" i="3"/>
  <c r="J32" i="3"/>
  <c r="I32" i="3"/>
  <c r="O31" i="3"/>
  <c r="N31" i="3"/>
  <c r="K31" i="3"/>
  <c r="J31" i="3"/>
  <c r="I31" i="3"/>
  <c r="M31" i="3" s="1"/>
  <c r="O30" i="3"/>
  <c r="N30" i="3"/>
  <c r="K30" i="3"/>
  <c r="J30" i="3"/>
  <c r="I30" i="3"/>
  <c r="M30" i="3" s="1"/>
  <c r="O29" i="3"/>
  <c r="N29" i="3"/>
  <c r="K29" i="3"/>
  <c r="J29" i="3"/>
  <c r="M29" i="3" s="1"/>
  <c r="I29" i="3"/>
  <c r="O28" i="3"/>
  <c r="N28" i="3"/>
  <c r="M28" i="3"/>
  <c r="K28" i="3"/>
  <c r="J28" i="3"/>
  <c r="I28" i="3"/>
  <c r="O27" i="3"/>
  <c r="N27" i="3"/>
  <c r="K27" i="3"/>
  <c r="J27" i="3"/>
  <c r="I27" i="3"/>
  <c r="M27" i="3" s="1"/>
  <c r="O26" i="3"/>
  <c r="N26" i="3"/>
  <c r="K26" i="3"/>
  <c r="J26" i="3"/>
  <c r="I26" i="3"/>
  <c r="M26" i="3" s="1"/>
  <c r="O25" i="3"/>
  <c r="N25" i="3"/>
  <c r="K25" i="3"/>
  <c r="J25" i="3"/>
  <c r="M25" i="3" s="1"/>
  <c r="I25" i="3"/>
  <c r="O24" i="3"/>
  <c r="N24" i="3"/>
  <c r="M24" i="3"/>
  <c r="K24" i="3"/>
  <c r="J24" i="3"/>
  <c r="I24" i="3"/>
  <c r="O23" i="3"/>
  <c r="N23" i="3"/>
  <c r="K23" i="3"/>
  <c r="J23" i="3"/>
  <c r="I23" i="3"/>
  <c r="M23" i="3" s="1"/>
  <c r="O22" i="3"/>
  <c r="N22" i="3"/>
  <c r="K22" i="3"/>
  <c r="J22" i="3"/>
  <c r="I22" i="3"/>
  <c r="M22" i="3" s="1"/>
  <c r="O18" i="3"/>
  <c r="N18" i="3"/>
  <c r="K18" i="3"/>
  <c r="J18" i="3"/>
  <c r="M18" i="3" s="1"/>
  <c r="I18" i="3"/>
  <c r="O14" i="3"/>
  <c r="N14" i="3"/>
  <c r="M14" i="3"/>
  <c r="K14" i="3"/>
  <c r="J14" i="3"/>
  <c r="I14" i="3"/>
  <c r="O12" i="3"/>
  <c r="N12" i="3"/>
  <c r="K12" i="3"/>
  <c r="J12" i="3"/>
  <c r="I12" i="3"/>
  <c r="M12" i="3" s="1"/>
  <c r="O11" i="3"/>
  <c r="N11" i="3"/>
  <c r="K11" i="3"/>
  <c r="J11" i="3"/>
  <c r="I11" i="3"/>
  <c r="M11" i="3" s="1"/>
</calcChain>
</file>

<file path=xl/sharedStrings.xml><?xml version="1.0" encoding="utf-8"?>
<sst xmlns="http://schemas.openxmlformats.org/spreadsheetml/2006/main" count="961" uniqueCount="224">
  <si>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</si>
  <si>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</si>
  <si>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</si>
  <si>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</si>
  <si>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</si>
  <si>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</si>
  <si>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</si>
  <si>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</si>
  <si>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</si>
  <si>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</si>
  <si>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</si>
  <si>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</si>
  <si>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</si>
  <si>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</si>
  <si>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</si>
  <si>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admin_info</t>
  </si>
  <si>
    <t>Section 1: Administrative Information</t>
  </si>
  <si>
    <t>Title and trial registration</t>
  </si>
  <si>
    <t>1a</t>
  </si>
  <si>
    <t>Descriptive title that matches the protocol, with SAP either as a forerunner or subtitle, and trial acronym (if applicable)</t>
  </si>
  <si>
    <t xml:space="preserve">Claude_sonnet included the most information (sponsors/ funding /programme management/ and a shortened title). </t>
  </si>
  <si>
    <t>openAI_full</t>
  </si>
  <si>
    <t>1b</t>
  </si>
  <si>
    <t>Trial registration number</t>
  </si>
  <si>
    <t>Match full</t>
  </si>
  <si>
    <t>NA</t>
  </si>
  <si>
    <t>Average Full 1</t>
  </si>
  <si>
    <t>SAP version</t>
  </si>
  <si>
    <t>Average Full 2</t>
  </si>
  <si>
    <t>SAP version number with dates</t>
  </si>
  <si>
    <t>Protocol Version</t>
  </si>
  <si>
    <t>Reference to version of protocol being used</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</si>
  <si>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</si>
  <si>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</si>
  <si>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</si>
  <si>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</si>
  <si>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</si>
  <si>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</si>
  <si>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</si>
  <si>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</si>
  <si>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</si>
  <si>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Claude_sonnet included programme management team.</t>
  </si>
  <si>
    <t>Signatures of:</t>
  </si>
  <si>
    <t>6a</t>
  </si>
  <si>
    <t>Person writing the SAP</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</si>
  <si>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</si>
  <si>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</si>
  <si>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</si>
  <si>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</si>
  <si>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</si>
  <si>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</si>
  <si>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</si>
  <si>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</si>
  <si>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 xml:space="preserve">Claude_sonnet most closely followed Protocol (I would say used too much information for a SAP). And sometimes quoted studies without providing full information with the extracted information (minor inaccuracy) e.g. MYRIAD study. </t>
  </si>
  <si>
    <t>Objectives</t>
  </si>
  <si>
    <t>Description of specific objectives or hypotheses</t>
  </si>
  <si>
    <t>Accept a vague description as outcomes defined later</t>
  </si>
  <si>
    <t xml:space="preserve">Open AI brilliant - picked up on all objectives. Gemini_pro less detail but still good. claude_sonnet good. </t>
  </si>
  <si>
    <t>study_design</t>
  </si>
  <si>
    <t>Section 3: Study Methods</t>
  </si>
  <si>
    <t>Trial design</t>
  </si>
  <si>
    <t>claude (verbose)</t>
  </si>
  <si>
    <t>Brief description of trial design including type of trial (eg, parallel group, multiarm, crossover, factorial) and allocation ratio and may include brief description of interventions</t>
  </si>
  <si>
    <t xml:space="preserve">OpenAI good but not brief. Claude_sonnet the best here - details the internal pilot study etc. Gemini-pro correct but maybe too brief. </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</si>
  <si>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</si>
  <si>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</si>
  <si>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</si>
  <si>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</si>
  <si>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</si>
  <si>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claude_sonnet discusses that the remote site will accomodate people who prefer remote delivery (this isn't the case)</t>
  </si>
  <si>
    <t>sample_size</t>
  </si>
  <si>
    <t>Sample size</t>
  </si>
  <si>
    <t>Full sample size calculation or reference to sample size calculation in protocol (instead of replication in SAP)</t>
  </si>
  <si>
    <t>OpenAI said ANCOVA model used (instead of AUC model). Gemini-pro slightly lacking detail. Claude_sonnet great.</t>
  </si>
  <si>
    <t>The remote site to accompodate people who prefer remote treatment is correct according to the protocol.</t>
  </si>
  <si>
    <t>interim_analysis</t>
  </si>
  <si>
    <t>Statistical interim analyses and stopping guidance</t>
  </si>
  <si>
    <t>13a</t>
  </si>
  <si>
    <t xml:space="preserve">
Information on interim analyses specifying what interim analyses will be carried out and listing of time points</t>
  </si>
  <si>
    <t xml:space="preserve">Although - no details of pilot will be put in SAP/no interim analysis - so did produce this section unnecessarily. </t>
  </si>
  <si>
    <t>They did not explicitly model the AUC when calculating the sample size. they used a simplified t-test approach based on a single time point (or an average of a couple of points).</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</si>
  <si>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</si>
  <si>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</si>
  <si>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</si>
  <si>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13c</t>
  </si>
  <si>
    <t>Details of guidelines for stopping the trial early</t>
  </si>
  <si>
    <t>timing</t>
  </si>
  <si>
    <t>Timing of final analysis</t>
  </si>
  <si>
    <t>Timing of final analysis, eg, all outcomes analyzed collectively or timing stratified by planned length of follow-up</t>
  </si>
  <si>
    <t xml:space="preserve">gemini_pro low on info. claude_sonnet best.  </t>
  </si>
  <si>
    <t>Timing of outcome assessments</t>
  </si>
  <si>
    <t>Time points at which the outcomes are measured including visit “windows”</t>
  </si>
  <si>
    <t>Score 2 if missing visit windows, that are mentioned in the protocol</t>
  </si>
  <si>
    <t>analysis_considerations</t>
  </si>
  <si>
    <t>Section 4: Statistical Principles</t>
  </si>
  <si>
    <t>Confidence intervals and P values</t>
  </si>
  <si>
    <t xml:space="preserve">gemni is too berif so it missed some infomation about the primary and secondary outcome. </t>
  </si>
  <si>
    <t>Level of statistical significance</t>
  </si>
  <si>
    <t>Description and rationale for any adjustment for multiplicity and, if so, detailing how the type 1 error is to be controlled</t>
  </si>
  <si>
    <t>Gemini said nothing about the visit window.</t>
  </si>
  <si>
    <t>(no adjustments)</t>
  </si>
  <si>
    <t>Confidence intervals to be reported</t>
  </si>
  <si>
    <t>Adherence and protocol deviations</t>
  </si>
  <si>
    <t>19a</t>
  </si>
  <si>
    <t>Definition of adherence to the intervention and how this is assessed including extent of exposure</t>
  </si>
  <si>
    <t>19b</t>
  </si>
  <si>
    <t xml:space="preserve">
Description of how adherence to the intervention will be presented</t>
  </si>
  <si>
    <t>slightly off the mark for openAI and claude_sonnet</t>
  </si>
  <si>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</si>
  <si>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</si>
  <si>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</si>
  <si>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19d</t>
  </si>
  <si>
    <t>Description of which protocol deviations will be summarized</t>
  </si>
  <si>
    <t>Score 3 if it says it will describe the protocol deviations it has defined descriptively by arm even if the answer to 19c is not perfect.</t>
  </si>
  <si>
    <t>Minor deviations/major not covered by gemini pro</t>
  </si>
  <si>
    <t>gemini: nothing said about the minor protocol violation.</t>
  </si>
  <si>
    <t>trial_population</t>
  </si>
  <si>
    <t>Analysis populations</t>
  </si>
  <si>
    <t>Definition of analysis populations, eg, intention to treat, per protocol, complete case, safety</t>
  </si>
  <si>
    <t>If the analysis populations are defined that are not the protocol, then score as a 2. E.g., if a per-protocol population or a safety population is defined that is not in the protocol, then score a 2.</t>
  </si>
  <si>
    <t>not mentioned for those scored 0</t>
  </si>
  <si>
    <t>Section 5: Trial Population</t>
  </si>
  <si>
    <t>Screening data</t>
  </si>
  <si>
    <t>Reporting of screening data (if collected) to describe representativeness of trial sample</t>
  </si>
  <si>
    <t>Summary of eligibility criteria</t>
  </si>
  <si>
    <t>score 2 if missing inclusion/exclusion criteria</t>
  </si>
  <si>
    <t>i don't understand the first score comment (not mentioned for those scored 0) - to discuss and reconcile</t>
  </si>
  <si>
    <t>Recruitment</t>
  </si>
  <si>
    <t>Information to be included in the CONSORT flow diagram</t>
  </si>
  <si>
    <t xml:space="preserve">OpenAI says CONSORT to include adherence, but does include number of people contacted, and others dont. </t>
  </si>
  <si>
    <t>Withdrawal/follow-up</t>
  </si>
  <si>
    <t>24a</t>
  </si>
  <si>
    <t>Level of withdrawal, eg, from intervention and/or from follow-up</t>
  </si>
  <si>
    <t xml:space="preserve">OpenAI - different withdrawals defined that are not in protocol - but not necessarily wrong. gemini pro - no active withdrawal vs loss to follow up distinction. </t>
  </si>
  <si>
    <t>OpenAI: included too many information in CONSORT diagram, I don't think this is a standard. Claude said... as well as completion rates for the fortnightly SMFQ and PHQ-8 measures throughout the 12-month follow-up period. I think preenthing data completion every two weeks for 12 month is not something we do normally in a CONSORT</t>
  </si>
  <si>
    <t>24b</t>
  </si>
  <si>
    <t>Timing of withdrawal/lost to follow-up data</t>
  </si>
  <si>
    <t xml:space="preserve">withdrawal will actually be measured prior to T1, and between T1 and T2. None of them got this. </t>
  </si>
  <si>
    <t>24c</t>
  </si>
  <si>
    <t>Reasons and details of how withdrawal/lost to follow-up data will be presented</t>
  </si>
  <si>
    <t>Baseline patient characteristics</t>
  </si>
  <si>
    <t>25a</t>
  </si>
  <si>
    <t>List of baseline characteristics to be summarized</t>
  </si>
  <si>
    <t>Score as 3 if a reasonable list is given, there is no need to exhaustively check that the variable matches the protocol.</t>
  </si>
  <si>
    <t xml:space="preserve">this was changed from protocol </t>
  </si>
  <si>
    <t>25b</t>
  </si>
  <si>
    <t>Details of how baseline characteristics will be descriptively summarized</t>
  </si>
  <si>
    <t>score 1 if it says test for baseline</t>
  </si>
  <si>
    <t>claude text missed, maybe an error happend while running the code.</t>
  </si>
  <si>
    <t>claude_sonnet seemed cut off - so might be there</t>
  </si>
  <si>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</si>
  <si>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</si>
  <si>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</si>
  <si>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</si>
  <si>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</si>
  <si>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</si>
  <si>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Errors in outcome definitions should be scored 1.</t>
  </si>
  <si>
    <t>OpenAI: too wordy but not wrong. Gemini the best. Claude: said about the mean difference but shouldn't be wrong.</t>
  </si>
  <si>
    <t>26b</t>
  </si>
  <si>
    <t>specific measurement and units (eg, glucose control, hbA1c [mmol/mol or %])</t>
  </si>
  <si>
    <t>openAI over detailed. Gemini-pro did the best here. Claude-sonnet expressed analysis of secondary outcomes wrong</t>
  </si>
  <si>
    <t>we don't have units, measure are only questonaires scores. but nothing is wrong, so I will give 3 to all.</t>
  </si>
  <si>
    <t>26c</t>
  </si>
  <si>
    <t>any calculation or transformation used to derive the outcome (eg, change from baseline, QoL score, time to event, logarithm, etc)</t>
  </si>
  <si>
    <t>we don't have any transformation, and no model wrote about it, so I give 3 to all.</t>
  </si>
  <si>
    <t>analysis_methods</t>
  </si>
  <si>
    <t>Analysis methods</t>
  </si>
  <si>
    <t>27*</t>
  </si>
  <si>
    <t>Primary analysis: Clear which analysis method applies to primary outcome, and which analysis population will be used</t>
  </si>
  <si>
    <t>Primary analysis: Correct model</t>
  </si>
  <si>
    <t>Score 3 for correct model</t>
  </si>
  <si>
    <t>Primary analysis: Correct model specification</t>
  </si>
  <si>
    <t>Score 3 for correct specification eg. correct random effects. If simple model used eg, logistic regresison score 3 if above is 3</t>
  </si>
  <si>
    <t>claude: the inclusion of time (fortnightly) in the model as an IV is vague.</t>
  </si>
  <si>
    <t>Primary analysis: Correct covariates</t>
  </si>
  <si>
    <t>If given in protocol must match, must include stratification factors. If not given, score 3 for a reasnable attempt.</t>
  </si>
  <si>
    <t>as above</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</si>
  <si>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</si>
  <si>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</si>
  <si>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Secondary analysis: Correct model</t>
  </si>
  <si>
    <t xml:space="preserve">this might be wrong in GPT5: Secondary ordinal outcome collected at T1 and T2
Perceived ability to cope (single bespoke 5‑point Likert item) </t>
  </si>
  <si>
    <t xml:space="preserve">GPT has made up some secondary outcome scale. </t>
  </si>
  <si>
    <t>Secondary analysis: Correct model specification</t>
  </si>
  <si>
    <t>Secondary analysis: Correct covariates</t>
  </si>
  <si>
    <t>assumptions_and_sensitivity_analysis</t>
  </si>
  <si>
    <t>27c</t>
  </si>
  <si>
    <t>methods used for assumptions to be checked for statistical methods</t>
  </si>
  <si>
    <t>27d</t>
  </si>
  <si>
    <t>details of alternative methods to be used if distributional assumptions do not hold, eg, normality, proportional hazards, etc</t>
  </si>
  <si>
    <t>27e</t>
  </si>
  <si>
    <t>any planned sensitivity analyses for each outcome where applicable</t>
  </si>
  <si>
    <t>main assumption check - normally distributed residuals. All said this and valid  methods to try if assumption violated. Lots of other assumption checks that Im not sure are necessary?</t>
  </si>
  <si>
    <t>OpenAI: many sensitivity and assumtion checks, that might not be useful</t>
  </si>
  <si>
    <t>subgroup_analysis</t>
  </si>
  <si>
    <t>27f</t>
  </si>
  <si>
    <t>any planned subgroup analyses for each outcome including how subgroups are defined</t>
  </si>
  <si>
    <t>GPT5 said: No multiplicity adjustment will be applied; these analyses are exploratory and not powered for definitive subgroup effects.</t>
  </si>
  <si>
    <t>missing_data</t>
  </si>
  <si>
    <t>Missing data</t>
  </si>
  <si>
    <t xml:space="preserve">all added lots of sensitivity analyses, with limited detail. </t>
  </si>
  <si>
    <t>Reporting and assumptions/statistical methods to handle missing data (eg, multiple imputation)</t>
  </si>
  <si>
    <t>OpenAI: didn't said about sensitivity analysis for NMAR after multiple imputation. But it might be said in the sensitiviy analysis section</t>
  </si>
  <si>
    <t>additional_analysis</t>
  </si>
  <si>
    <t>Additional analyses</t>
  </si>
  <si>
    <t xml:space="preserve">subgroup analyses are not powered for this study, but will be exploratory, OpenAI did not highlight this. </t>
  </si>
  <si>
    <t>Details of any additional statistical analyses required, eg, complier-average causal effect analysis</t>
  </si>
  <si>
    <t>Speicifcaiton of additional statistical analysis that would not be done should be scored 1</t>
  </si>
  <si>
    <t>harms</t>
  </si>
  <si>
    <t>Harms</t>
  </si>
  <si>
    <t xml:space="preserve">none describe multiple imputation correctly/if at all. </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</si>
  <si>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</si>
  <si>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</si>
  <si>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</si>
  <si>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</si>
  <si>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</si>
  <si>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</si>
  <si>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</si>
  <si>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</si>
  <si>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</si>
  <si>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</si>
  <si>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</si>
  <si>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Sufficient detail on summarizing safety data</t>
  </si>
  <si>
    <t>Information on interim analyses specifying what interim analyses will be carried out and listing of time points</t>
  </si>
  <si>
    <t>Description of how adherence to the intervention will be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</si>
</sst>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4" fillId="0" borderId="0" xfId="0" applyFont="1" applyAlignment="1">
      <alignment wrapText="1"/>
    </xf>
    <xf numFmtId="0" fontId="3" fillId="0" borderId="0" xfId="0" applyFont="1" applyAlignment="1">
      <alignment horizontal="left"/>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workbookViewId="0">
      <pane xSplit="5" ySplit="4" topLeftCell="F34" activePane="bottomRight" state="frozen"/>
      <selection pane="topRight" activeCell="F1" sqref="F1"/>
      <selection pane="bottomLeft" activeCell="A5" sqref="A5"/>
      <selection pane="bottomRight" activeCell="E38" sqref="E38"/>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16" customWidth="1"/>
    <col min="6" max="6" width="30.5" customWidth="1"/>
    <col min="7" max="7" width="15.1640625" customWidth="1"/>
    <col min="8" max="8" width="16.1640625" customWidth="1"/>
  </cols>
  <sheetData>
    <row r="1" spans="1:28" ht="13" x14ac:dyDescent="0.15">
      <c r="A1" s="1"/>
      <c r="B1" s="2"/>
      <c r="C1" s="3"/>
      <c r="D1" s="1">
        <v>0</v>
      </c>
      <c r="E1" s="12"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154" x14ac:dyDescent="0.15">
      <c r="A11" s="8" t="s">
        <v>15</v>
      </c>
      <c r="B11" s="4" t="s">
        <v>16</v>
      </c>
      <c r="C11" s="4" t="s">
        <v>17</v>
      </c>
      <c r="D11" s="9" t="s">
        <v>18</v>
      </c>
      <c r="E11" s="14" t="s">
        <v>19</v>
      </c>
      <c r="F11" s="4"/>
      <c r="G11" s="4"/>
      <c r="H11" s="4">
        <v>3</v>
      </c>
      <c r="I11" s="4">
        <v>3</v>
      </c>
      <c r="J11" s="4">
        <v>3</v>
      </c>
      <c r="K11" s="4" t="s">
        <v>20</v>
      </c>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22</v>
      </c>
      <c r="E12" s="14" t="s">
        <v>23</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25</v>
      </c>
      <c r="B13" s="4" t="s">
        <v>16</v>
      </c>
      <c r="C13" s="4" t="s">
        <v>27</v>
      </c>
      <c r="D13" s="9">
        <v>2</v>
      </c>
      <c r="E13" s="4" t="s">
        <v>29</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30</v>
      </c>
      <c r="D14" s="9">
        <v>3</v>
      </c>
      <c r="E14" s="14" t="s">
        <v>31</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25</v>
      </c>
      <c r="B15" s="4" t="s">
        <v>16</v>
      </c>
      <c r="C15" s="4" t="s">
        <v>32</v>
      </c>
      <c r="D15" s="9" t="s">
        <v>33</v>
      </c>
      <c r="E15" s="4" t="s">
        <v>34</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25</v>
      </c>
      <c r="B16" s="4" t="s">
        <v>16</v>
      </c>
      <c r="C16" s="4" t="s">
        <v>32</v>
      </c>
      <c r="D16" s="9" t="s">
        <v>35</v>
      </c>
      <c r="E16" s="4" t="s">
        <v>36</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25</v>
      </c>
      <c r="B17" s="4" t="s">
        <v>16</v>
      </c>
      <c r="C17" s="4" t="s">
        <v>32</v>
      </c>
      <c r="D17" s="9" t="s">
        <v>37</v>
      </c>
      <c r="E17" s="4" t="s">
        <v>38</v>
      </c>
      <c r="F17" s="4"/>
      <c r="G17" s="4"/>
      <c r="H17" s="4"/>
      <c r="I17" s="4"/>
      <c r="J17" s="4"/>
      <c r="K17" s="4"/>
      <c r="L17" s="4"/>
      <c r="M17" s="4"/>
      <c r="N17" s="4"/>
      <c r="O17" s="4"/>
      <c r="P17" s="4"/>
      <c r="Q17" s="4"/>
      <c r="R17" s="4"/>
      <c r="S17" s="4"/>
      <c r="T17" s="4"/>
      <c r="U17" s="4"/>
      <c r="V17" s="4"/>
      <c r="W17" s="4"/>
      <c r="X17" s="4"/>
      <c r="Y17" s="4"/>
      <c r="Z17" s="4"/>
      <c r="AA17" s="4"/>
      <c r="AB17" s="4"/>
    </row>
    <row r="18" spans="1:28" ht="70" x14ac:dyDescent="0.15">
      <c r="A18" s="8" t="s">
        <v>15</v>
      </c>
      <c r="B18" s="4" t="s">
        <v>16</v>
      </c>
      <c r="C18" s="4" t="s">
        <v>39</v>
      </c>
      <c r="D18" s="9">
        <v>5</v>
      </c>
      <c r="E18" s="14" t="s">
        <v>40</v>
      </c>
      <c r="F18" s="4"/>
      <c r="G18" s="4"/>
      <c r="H18" s="4">
        <v>3</v>
      </c>
      <c r="I18" s="4">
        <v>3</v>
      </c>
      <c r="J18" s="4">
        <v>3</v>
      </c>
      <c r="K18" s="4" t="s">
        <v>41</v>
      </c>
      <c r="L18" s="4"/>
      <c r="M18" s="4"/>
      <c r="N18" s="4"/>
      <c r="O18" s="4"/>
      <c r="P18" s="4"/>
      <c r="Q18" s="4"/>
      <c r="R18" s="4"/>
      <c r="S18" s="4"/>
      <c r="T18" s="4"/>
      <c r="U18" s="4"/>
      <c r="V18" s="4"/>
      <c r="W18" s="4"/>
      <c r="X18" s="4"/>
      <c r="Y18" s="4"/>
      <c r="Z18" s="4"/>
      <c r="AA18" s="4"/>
      <c r="AB18" s="4"/>
    </row>
    <row r="19" spans="1:28" ht="42" hidden="1" x14ac:dyDescent="0.15">
      <c r="A19" s="4" t="s">
        <v>25</v>
      </c>
      <c r="B19" s="4" t="s">
        <v>16</v>
      </c>
      <c r="C19" s="4" t="s">
        <v>42</v>
      </c>
      <c r="D19" s="9" t="s">
        <v>43</v>
      </c>
      <c r="E19" s="4" t="s">
        <v>44</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25</v>
      </c>
      <c r="B20" s="4" t="s">
        <v>16</v>
      </c>
      <c r="C20" s="4" t="s">
        <v>42</v>
      </c>
      <c r="D20" s="9" t="s">
        <v>45</v>
      </c>
      <c r="E20" s="4" t="s">
        <v>46</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25</v>
      </c>
      <c r="B21" s="4" t="s">
        <v>16</v>
      </c>
      <c r="C21" s="4" t="s">
        <v>42</v>
      </c>
      <c r="D21" s="9" t="s">
        <v>47</v>
      </c>
      <c r="E21" s="4" t="s">
        <v>48</v>
      </c>
      <c r="F21" s="4"/>
      <c r="G21" s="4"/>
      <c r="H21" s="4"/>
      <c r="I21" s="4"/>
      <c r="J21" s="4"/>
      <c r="K21" s="4"/>
      <c r="L21" s="4"/>
      <c r="M21" s="4"/>
      <c r="N21" s="4"/>
      <c r="O21" s="4"/>
      <c r="P21" s="4"/>
      <c r="Q21" s="4"/>
      <c r="R21" s="4"/>
      <c r="S21" s="4"/>
      <c r="T21" s="4"/>
      <c r="U21" s="4"/>
      <c r="V21" s="4"/>
      <c r="W21" s="4"/>
      <c r="X21" s="4"/>
      <c r="Y21" s="4"/>
      <c r="Z21" s="4"/>
      <c r="AA21" s="4"/>
      <c r="AB21" s="4"/>
    </row>
    <row r="22" spans="1:28" ht="280" x14ac:dyDescent="0.15">
      <c r="A22" s="8" t="s">
        <v>49</v>
      </c>
      <c r="B22" s="4" t="s">
        <v>50</v>
      </c>
      <c r="C22" s="4" t="s">
        <v>51</v>
      </c>
      <c r="D22" s="9">
        <v>7</v>
      </c>
      <c r="E22" s="14" t="s">
        <v>52</v>
      </c>
      <c r="F22" s="4"/>
      <c r="G22" s="4"/>
      <c r="H22" s="4">
        <v>3</v>
      </c>
      <c r="I22" s="4">
        <v>3</v>
      </c>
      <c r="J22" s="4">
        <v>3</v>
      </c>
      <c r="K22" s="4" t="s">
        <v>53</v>
      </c>
      <c r="L22" s="4"/>
      <c r="M22" s="4"/>
      <c r="N22" s="4"/>
      <c r="O22" s="4"/>
      <c r="P22" s="4"/>
      <c r="Q22" s="4"/>
      <c r="R22" s="4"/>
      <c r="S22" s="4"/>
      <c r="T22" s="4"/>
      <c r="U22" s="4"/>
      <c r="V22" s="4"/>
      <c r="W22" s="4"/>
      <c r="X22" s="4"/>
      <c r="Y22" s="4"/>
      <c r="Z22" s="4"/>
      <c r="AA22" s="4"/>
      <c r="AB22" s="4"/>
    </row>
    <row r="23" spans="1:28" ht="126" x14ac:dyDescent="0.15">
      <c r="A23" s="8" t="s">
        <v>49</v>
      </c>
      <c r="B23" s="4" t="s">
        <v>50</v>
      </c>
      <c r="C23" s="4" t="s">
        <v>54</v>
      </c>
      <c r="D23" s="9">
        <v>8</v>
      </c>
      <c r="E23" s="14" t="s">
        <v>55</v>
      </c>
      <c r="F23" s="4" t="s">
        <v>56</v>
      </c>
      <c r="G23" s="4"/>
      <c r="H23" s="4">
        <v>3</v>
      </c>
      <c r="I23" s="4">
        <v>3</v>
      </c>
      <c r="J23" s="4">
        <v>3</v>
      </c>
      <c r="K23" s="4" t="s">
        <v>57</v>
      </c>
      <c r="L23" s="4"/>
      <c r="M23" s="4"/>
      <c r="N23" s="4"/>
      <c r="O23" s="4"/>
      <c r="P23" s="4"/>
      <c r="Q23" s="4"/>
      <c r="R23" s="4"/>
      <c r="S23" s="4"/>
      <c r="T23" s="4"/>
      <c r="U23" s="4"/>
      <c r="V23" s="4"/>
      <c r="W23" s="4"/>
      <c r="X23" s="4"/>
      <c r="Y23" s="4"/>
      <c r="Z23" s="4"/>
      <c r="AA23" s="4"/>
      <c r="AB23" s="4"/>
    </row>
    <row r="24" spans="1:28" ht="154" x14ac:dyDescent="0.15">
      <c r="A24" s="8" t="s">
        <v>58</v>
      </c>
      <c r="B24" s="4" t="s">
        <v>59</v>
      </c>
      <c r="C24" s="4" t="s">
        <v>60</v>
      </c>
      <c r="D24" s="9">
        <v>9</v>
      </c>
      <c r="E24" s="14" t="s">
        <v>62</v>
      </c>
      <c r="F24" s="4"/>
      <c r="G24" s="4"/>
      <c r="H24" s="4">
        <v>3</v>
      </c>
      <c r="I24" s="4">
        <v>3</v>
      </c>
      <c r="J24" s="4">
        <v>3</v>
      </c>
      <c r="K24" s="4" t="s">
        <v>63</v>
      </c>
      <c r="L24" s="4"/>
      <c r="M24" s="4"/>
      <c r="N24" s="4"/>
      <c r="O24" s="4"/>
      <c r="P24" s="4"/>
      <c r="Q24" s="4"/>
      <c r="R24" s="4"/>
      <c r="S24" s="4"/>
      <c r="T24" s="4"/>
      <c r="U24" s="4"/>
      <c r="V24" s="4"/>
      <c r="W24" s="4"/>
      <c r="X24" s="4"/>
      <c r="Y24" s="4"/>
      <c r="Z24" s="4"/>
      <c r="AA24" s="4"/>
      <c r="AB24" s="4"/>
    </row>
    <row r="25" spans="1:28" ht="42" x14ac:dyDescent="0.15">
      <c r="A25" s="8" t="s">
        <v>58</v>
      </c>
      <c r="B25" s="4" t="s">
        <v>59</v>
      </c>
      <c r="C25" s="4" t="s">
        <v>64</v>
      </c>
      <c r="D25" s="9">
        <v>12</v>
      </c>
      <c r="E25" s="14" t="s">
        <v>65</v>
      </c>
      <c r="F25" s="4"/>
      <c r="G25" s="4"/>
      <c r="H25" s="4">
        <v>3</v>
      </c>
      <c r="I25" s="4">
        <v>3</v>
      </c>
      <c r="J25" s="4">
        <v>3</v>
      </c>
      <c r="K25" s="4"/>
      <c r="L25" s="4"/>
      <c r="M25" s="4"/>
      <c r="N25" s="4"/>
      <c r="O25" s="4"/>
      <c r="P25" s="4"/>
      <c r="Q25" s="4"/>
      <c r="R25" s="4"/>
      <c r="S25" s="4"/>
      <c r="T25" s="4"/>
      <c r="U25" s="4"/>
      <c r="V25" s="4"/>
      <c r="W25" s="4"/>
      <c r="X25" s="4"/>
      <c r="Y25" s="4"/>
      <c r="Z25" s="4"/>
      <c r="AA25" s="4"/>
      <c r="AB25" s="4"/>
    </row>
    <row r="26" spans="1:28" ht="126" x14ac:dyDescent="0.15">
      <c r="A26" s="4" t="s">
        <v>66</v>
      </c>
      <c r="B26" s="4" t="s">
        <v>59</v>
      </c>
      <c r="C26" s="4" t="s">
        <v>67</v>
      </c>
      <c r="D26" s="9">
        <v>10</v>
      </c>
      <c r="E26" s="14" t="s">
        <v>68</v>
      </c>
      <c r="F26" s="4"/>
      <c r="G26" s="4"/>
      <c r="H26" s="4">
        <v>3</v>
      </c>
      <c r="I26" s="4">
        <v>3</v>
      </c>
      <c r="J26" s="4">
        <v>3</v>
      </c>
      <c r="K26" s="4" t="s">
        <v>69</v>
      </c>
      <c r="L26" s="4"/>
      <c r="M26" s="4"/>
      <c r="N26" s="4"/>
      <c r="O26" s="4"/>
      <c r="P26" s="4"/>
      <c r="Q26" s="4"/>
      <c r="R26" s="4"/>
      <c r="S26" s="4"/>
      <c r="T26" s="4"/>
      <c r="U26" s="4"/>
      <c r="V26" s="4"/>
      <c r="W26" s="4"/>
      <c r="X26" s="4"/>
      <c r="Y26" s="4"/>
      <c r="Z26" s="4"/>
      <c r="AA26" s="4"/>
      <c r="AB26" s="4"/>
    </row>
    <row r="27" spans="1:28" ht="140" x14ac:dyDescent="0.15">
      <c r="A27" s="8" t="s">
        <v>70</v>
      </c>
      <c r="B27" s="4" t="s">
        <v>59</v>
      </c>
      <c r="C27" s="4" t="s">
        <v>71</v>
      </c>
      <c r="D27" s="9">
        <v>11</v>
      </c>
      <c r="E27" s="14" t="s">
        <v>72</v>
      </c>
      <c r="F27" s="4"/>
      <c r="G27" s="4"/>
      <c r="H27" s="4">
        <v>3</v>
      </c>
      <c r="I27" s="4">
        <v>3</v>
      </c>
      <c r="J27" s="4">
        <v>3</v>
      </c>
      <c r="K27" s="4" t="s">
        <v>73</v>
      </c>
      <c r="L27" s="4"/>
      <c r="M27" s="4"/>
      <c r="N27" s="4"/>
      <c r="O27" s="4"/>
      <c r="P27" s="4"/>
      <c r="Q27" s="4"/>
      <c r="R27" s="4"/>
      <c r="S27" s="4"/>
      <c r="T27" s="4"/>
      <c r="U27" s="4"/>
      <c r="V27" s="4"/>
      <c r="W27" s="4"/>
      <c r="X27" s="4"/>
      <c r="Y27" s="4"/>
      <c r="Z27" s="4"/>
      <c r="AA27" s="4"/>
      <c r="AB27" s="4"/>
    </row>
    <row r="28" spans="1:28" ht="112" x14ac:dyDescent="0.15">
      <c r="A28" s="8" t="s">
        <v>75</v>
      </c>
      <c r="B28" s="4" t="s">
        <v>59</v>
      </c>
      <c r="C28" s="4" t="s">
        <v>76</v>
      </c>
      <c r="D28" s="9" t="s">
        <v>77</v>
      </c>
      <c r="E28" s="14" t="s">
        <v>222</v>
      </c>
      <c r="F28" s="4"/>
      <c r="G28" s="4"/>
      <c r="H28" s="4">
        <v>3</v>
      </c>
      <c r="I28" s="4">
        <v>3</v>
      </c>
      <c r="J28" s="4">
        <v>3</v>
      </c>
      <c r="K28" s="4" t="s">
        <v>79</v>
      </c>
      <c r="L28" s="4"/>
      <c r="M28" s="4"/>
      <c r="N28" s="4"/>
      <c r="O28" s="4"/>
      <c r="P28" s="4"/>
      <c r="Q28" s="4"/>
      <c r="R28" s="4"/>
      <c r="S28" s="4"/>
      <c r="T28" s="4"/>
      <c r="U28" s="4"/>
      <c r="V28" s="4"/>
      <c r="W28" s="4"/>
      <c r="X28" s="4"/>
      <c r="Y28" s="4"/>
      <c r="Z28" s="4"/>
      <c r="AA28" s="4"/>
      <c r="AB28" s="4"/>
    </row>
    <row r="29" spans="1:28" ht="112" x14ac:dyDescent="0.15">
      <c r="A29" s="8" t="s">
        <v>75</v>
      </c>
      <c r="B29" s="4" t="s">
        <v>59</v>
      </c>
      <c r="C29" s="4" t="s">
        <v>76</v>
      </c>
      <c r="D29" s="9" t="s">
        <v>81</v>
      </c>
      <c r="E29" s="14" t="s">
        <v>82</v>
      </c>
      <c r="F29" s="4" t="s">
        <v>83</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75</v>
      </c>
      <c r="B30" s="4" t="s">
        <v>59</v>
      </c>
      <c r="C30" s="4" t="s">
        <v>76</v>
      </c>
      <c r="D30" s="9" t="s">
        <v>84</v>
      </c>
      <c r="E30" s="14" t="s">
        <v>85</v>
      </c>
      <c r="F30" s="4"/>
      <c r="G30" s="4"/>
      <c r="H30" s="4">
        <v>3</v>
      </c>
      <c r="I30" s="4">
        <v>3</v>
      </c>
      <c r="J30" s="4">
        <v>3</v>
      </c>
      <c r="K30" s="4"/>
      <c r="L30" s="4"/>
      <c r="M30" s="4"/>
      <c r="N30" s="4"/>
      <c r="O30" s="4"/>
      <c r="P30" s="4"/>
      <c r="Q30" s="4"/>
      <c r="R30" s="4"/>
      <c r="S30" s="4"/>
      <c r="T30" s="4"/>
      <c r="U30" s="4"/>
      <c r="V30" s="4"/>
      <c r="W30" s="4"/>
      <c r="X30" s="4"/>
      <c r="Y30" s="4"/>
      <c r="Z30" s="4"/>
      <c r="AA30" s="4"/>
      <c r="AB30" s="4"/>
    </row>
    <row r="31" spans="1:28" ht="56" x14ac:dyDescent="0.15">
      <c r="A31" s="8" t="s">
        <v>86</v>
      </c>
      <c r="B31" s="4" t="s">
        <v>59</v>
      </c>
      <c r="C31" s="4" t="s">
        <v>87</v>
      </c>
      <c r="D31" s="9">
        <v>14</v>
      </c>
      <c r="E31" s="14" t="s">
        <v>88</v>
      </c>
      <c r="F31" s="4"/>
      <c r="G31" s="4"/>
      <c r="H31" s="4">
        <v>3</v>
      </c>
      <c r="I31" s="4">
        <v>2</v>
      </c>
      <c r="J31" s="4">
        <v>3</v>
      </c>
      <c r="K31" s="4" t="s">
        <v>89</v>
      </c>
      <c r="L31" s="4"/>
      <c r="M31" s="4"/>
      <c r="N31" s="4"/>
      <c r="O31" s="4"/>
      <c r="P31" s="4"/>
      <c r="Q31" s="4"/>
      <c r="R31" s="4"/>
      <c r="S31" s="4"/>
      <c r="T31" s="4"/>
      <c r="U31" s="4"/>
      <c r="V31" s="4"/>
      <c r="W31" s="4"/>
      <c r="X31" s="4"/>
      <c r="Y31" s="4"/>
      <c r="Z31" s="4"/>
      <c r="AA31" s="4"/>
      <c r="AB31" s="4"/>
    </row>
    <row r="32" spans="1:28" ht="28" x14ac:dyDescent="0.15">
      <c r="A32" s="8" t="s">
        <v>86</v>
      </c>
      <c r="B32" s="4" t="s">
        <v>59</v>
      </c>
      <c r="C32" s="4" t="s">
        <v>90</v>
      </c>
      <c r="D32" s="9">
        <v>15</v>
      </c>
      <c r="E32" s="14" t="s">
        <v>91</v>
      </c>
      <c r="F32" s="4" t="s">
        <v>92</v>
      </c>
      <c r="G32" s="4"/>
      <c r="H32" s="4">
        <v>3</v>
      </c>
      <c r="I32" s="4">
        <v>3</v>
      </c>
      <c r="J32" s="4">
        <v>3</v>
      </c>
      <c r="K32" s="4"/>
      <c r="L32" s="4"/>
      <c r="M32" s="4"/>
      <c r="N32" s="4"/>
      <c r="O32" s="4"/>
      <c r="P32" s="4"/>
      <c r="Q32" s="4"/>
      <c r="R32" s="4"/>
      <c r="S32" s="4"/>
      <c r="T32" s="4"/>
      <c r="U32" s="4"/>
      <c r="V32" s="4"/>
      <c r="W32" s="4"/>
      <c r="X32" s="4"/>
      <c r="Y32" s="4"/>
      <c r="Z32" s="4"/>
      <c r="AA32" s="4"/>
      <c r="AB32" s="4"/>
    </row>
    <row r="33" spans="1:28" ht="28" x14ac:dyDescent="0.15">
      <c r="A33" s="8" t="s">
        <v>93</v>
      </c>
      <c r="B33" s="4" t="s">
        <v>94</v>
      </c>
      <c r="C33" s="4" t="s">
        <v>95</v>
      </c>
      <c r="D33" s="9">
        <v>16</v>
      </c>
      <c r="E33" s="14" t="s">
        <v>97</v>
      </c>
      <c r="F33" s="4"/>
      <c r="G33" s="4"/>
      <c r="H33" s="4">
        <v>3</v>
      </c>
      <c r="I33" s="4">
        <v>3</v>
      </c>
      <c r="J33" s="4">
        <v>3</v>
      </c>
      <c r="K33" s="4"/>
      <c r="L33" s="4"/>
      <c r="M33" s="4"/>
      <c r="N33" s="4"/>
      <c r="O33" s="4"/>
      <c r="P33" s="4"/>
      <c r="Q33" s="4"/>
      <c r="R33" s="4"/>
      <c r="S33" s="4"/>
      <c r="T33" s="4"/>
      <c r="U33" s="4"/>
      <c r="V33" s="4"/>
      <c r="W33" s="4"/>
      <c r="X33" s="4"/>
      <c r="Y33" s="4"/>
      <c r="Z33" s="4"/>
      <c r="AA33" s="4"/>
      <c r="AB33" s="4"/>
    </row>
    <row r="34" spans="1:28" ht="42" x14ac:dyDescent="0.15">
      <c r="A34" s="8" t="s">
        <v>93</v>
      </c>
      <c r="B34" s="4" t="s">
        <v>94</v>
      </c>
      <c r="C34" s="4" t="s">
        <v>95</v>
      </c>
      <c r="D34" s="9">
        <v>17</v>
      </c>
      <c r="E34" s="14" t="s">
        <v>98</v>
      </c>
      <c r="F34" s="4"/>
      <c r="G34" s="4"/>
      <c r="H34" s="4">
        <v>3</v>
      </c>
      <c r="I34" s="4">
        <v>3</v>
      </c>
      <c r="J34" s="4">
        <v>3</v>
      </c>
      <c r="K34" s="4" t="s">
        <v>100</v>
      </c>
      <c r="L34" s="4"/>
      <c r="M34" s="4"/>
      <c r="N34" s="4"/>
      <c r="O34" s="4"/>
      <c r="P34" s="4"/>
      <c r="Q34" s="4"/>
      <c r="R34" s="4"/>
      <c r="S34" s="4"/>
      <c r="T34" s="4"/>
      <c r="U34" s="4"/>
      <c r="V34" s="4"/>
      <c r="W34" s="4"/>
      <c r="X34" s="4"/>
      <c r="Y34" s="4"/>
      <c r="Z34" s="4"/>
      <c r="AA34" s="4"/>
      <c r="AB34" s="4"/>
    </row>
    <row r="35" spans="1:28" ht="28" x14ac:dyDescent="0.15">
      <c r="A35" s="8" t="s">
        <v>93</v>
      </c>
      <c r="B35" s="4" t="s">
        <v>94</v>
      </c>
      <c r="C35" s="4" t="s">
        <v>95</v>
      </c>
      <c r="D35" s="9">
        <v>18</v>
      </c>
      <c r="E35" s="14" t="s">
        <v>101</v>
      </c>
      <c r="F35" s="4"/>
      <c r="G35" s="4"/>
      <c r="H35" s="4">
        <v>3</v>
      </c>
      <c r="I35" s="4">
        <v>3</v>
      </c>
      <c r="J35" s="4">
        <v>3</v>
      </c>
      <c r="K35" s="4"/>
      <c r="L35" s="4"/>
      <c r="M35" s="4"/>
      <c r="N35" s="4"/>
      <c r="O35" s="4"/>
      <c r="P35" s="4"/>
      <c r="Q35" s="4"/>
      <c r="R35" s="4"/>
      <c r="S35" s="4"/>
      <c r="T35" s="4"/>
      <c r="U35" s="4"/>
      <c r="V35" s="4"/>
      <c r="W35" s="4"/>
      <c r="X35" s="4"/>
      <c r="Y35" s="4"/>
      <c r="Z35" s="4"/>
      <c r="AA35" s="4"/>
      <c r="AB35" s="4"/>
    </row>
    <row r="36" spans="1:28" ht="42" x14ac:dyDescent="0.15">
      <c r="A36" s="8" t="s">
        <v>93</v>
      </c>
      <c r="B36" s="4" t="s">
        <v>94</v>
      </c>
      <c r="C36" s="4" t="s">
        <v>102</v>
      </c>
      <c r="D36" s="9" t="s">
        <v>103</v>
      </c>
      <c r="E36" s="14" t="s">
        <v>104</v>
      </c>
      <c r="F36" s="4"/>
      <c r="G36" s="4"/>
      <c r="H36" s="4">
        <v>3</v>
      </c>
      <c r="I36" s="4">
        <v>3</v>
      </c>
      <c r="J36" s="4">
        <v>3</v>
      </c>
      <c r="K36" s="4"/>
      <c r="L36" s="4"/>
      <c r="M36" s="4"/>
      <c r="N36" s="4"/>
      <c r="O36" s="4"/>
      <c r="P36" s="4"/>
      <c r="Q36" s="4"/>
      <c r="R36" s="4"/>
      <c r="S36" s="4"/>
      <c r="T36" s="4"/>
      <c r="U36" s="4"/>
      <c r="V36" s="4"/>
      <c r="W36" s="4"/>
      <c r="X36" s="4"/>
      <c r="Y36" s="4"/>
      <c r="Z36" s="4"/>
      <c r="AA36" s="4"/>
      <c r="AB36" s="4"/>
    </row>
    <row r="37" spans="1:28" ht="56" x14ac:dyDescent="0.15">
      <c r="A37" s="8" t="s">
        <v>93</v>
      </c>
      <c r="B37" s="4" t="s">
        <v>94</v>
      </c>
      <c r="C37" s="4" t="s">
        <v>102</v>
      </c>
      <c r="D37" s="9" t="s">
        <v>105</v>
      </c>
      <c r="E37" s="14" t="s">
        <v>223</v>
      </c>
      <c r="F37" s="4"/>
      <c r="G37" s="4"/>
      <c r="H37" s="4">
        <v>3</v>
      </c>
      <c r="I37" s="4">
        <v>1</v>
      </c>
      <c r="J37" s="4">
        <v>3</v>
      </c>
      <c r="K37" s="4" t="s">
        <v>107</v>
      </c>
      <c r="L37" s="4"/>
      <c r="M37" s="4"/>
      <c r="N37" s="4"/>
      <c r="O37" s="4"/>
      <c r="P37" s="4"/>
      <c r="Q37" s="4"/>
      <c r="R37" s="4"/>
      <c r="S37" s="4"/>
      <c r="T37" s="4"/>
      <c r="U37" s="4"/>
      <c r="V37" s="4"/>
      <c r="W37" s="4"/>
      <c r="X37" s="4"/>
      <c r="Y37" s="4"/>
      <c r="Z37" s="4"/>
      <c r="AA37" s="4"/>
      <c r="AB37" s="4"/>
    </row>
    <row r="38" spans="1:28" ht="140" x14ac:dyDescent="0.15">
      <c r="A38" s="8" t="s">
        <v>93</v>
      </c>
      <c r="B38" s="4" t="s">
        <v>94</v>
      </c>
      <c r="C38" s="4" t="s">
        <v>102</v>
      </c>
      <c r="D38" s="9" t="s">
        <v>108</v>
      </c>
      <c r="E38" s="14" t="s">
        <v>109</v>
      </c>
      <c r="F38" s="4" t="s">
        <v>110</v>
      </c>
      <c r="G38" s="4"/>
      <c r="H38" s="4">
        <v>3</v>
      </c>
      <c r="I38" s="4">
        <v>2</v>
      </c>
      <c r="J38" s="4">
        <v>3</v>
      </c>
      <c r="K38" s="4"/>
      <c r="L38" s="4"/>
      <c r="M38" s="4"/>
      <c r="N38" s="4"/>
      <c r="O38" s="4"/>
      <c r="P38" s="4"/>
      <c r="Q38" s="4"/>
      <c r="R38" s="4"/>
      <c r="S38" s="4"/>
      <c r="T38" s="4"/>
      <c r="U38" s="4"/>
      <c r="V38" s="4"/>
      <c r="W38" s="4"/>
      <c r="X38" s="4"/>
      <c r="Y38" s="4"/>
      <c r="Z38" s="4"/>
      <c r="AA38" s="4"/>
      <c r="AB38" s="4"/>
    </row>
    <row r="39" spans="1:28" ht="56" x14ac:dyDescent="0.15">
      <c r="A39" s="8" t="s">
        <v>93</v>
      </c>
      <c r="B39" s="4" t="s">
        <v>94</v>
      </c>
      <c r="C39" s="4" t="s">
        <v>102</v>
      </c>
      <c r="D39" s="9" t="s">
        <v>111</v>
      </c>
      <c r="E39" s="14" t="s">
        <v>112</v>
      </c>
      <c r="F39" s="4" t="s">
        <v>113</v>
      </c>
      <c r="G39" s="4"/>
      <c r="H39" s="4">
        <v>3</v>
      </c>
      <c r="I39" s="4">
        <v>2</v>
      </c>
      <c r="J39" s="4">
        <v>3</v>
      </c>
      <c r="K39" s="4" t="s">
        <v>114</v>
      </c>
      <c r="L39" s="4"/>
      <c r="M39" s="4"/>
      <c r="N39" s="4"/>
      <c r="O39" s="4"/>
      <c r="P39" s="4"/>
      <c r="Q39" s="4"/>
      <c r="R39" s="4"/>
      <c r="S39" s="4"/>
      <c r="T39" s="4"/>
      <c r="U39" s="4"/>
      <c r="V39" s="4"/>
      <c r="W39" s="4"/>
      <c r="X39" s="4"/>
      <c r="Y39" s="4"/>
      <c r="Z39" s="4"/>
      <c r="AA39" s="4"/>
      <c r="AB39" s="4"/>
    </row>
    <row r="40" spans="1:28" ht="84" x14ac:dyDescent="0.15">
      <c r="A40" s="8" t="s">
        <v>116</v>
      </c>
      <c r="B40" s="4" t="s">
        <v>94</v>
      </c>
      <c r="C40" s="4" t="s">
        <v>117</v>
      </c>
      <c r="D40" s="9">
        <v>20</v>
      </c>
      <c r="E40" s="14" t="s">
        <v>118</v>
      </c>
      <c r="F40" s="4" t="s">
        <v>119</v>
      </c>
      <c r="G40" s="4"/>
      <c r="H40" s="4">
        <v>3</v>
      </c>
      <c r="I40" s="4">
        <v>3</v>
      </c>
      <c r="J40" s="4">
        <v>3</v>
      </c>
      <c r="K40" s="4" t="s">
        <v>120</v>
      </c>
      <c r="L40" s="4"/>
      <c r="M40" s="4"/>
      <c r="N40" s="4"/>
      <c r="O40" s="4"/>
      <c r="P40" s="4"/>
      <c r="Q40" s="4"/>
      <c r="R40" s="4"/>
      <c r="S40" s="4"/>
      <c r="T40" s="4"/>
      <c r="U40" s="4"/>
      <c r="V40" s="4"/>
      <c r="W40" s="4"/>
      <c r="X40" s="4"/>
      <c r="Y40" s="4"/>
      <c r="Z40" s="4"/>
      <c r="AA40" s="4"/>
      <c r="AB40" s="4"/>
    </row>
    <row r="41" spans="1:28" ht="28" x14ac:dyDescent="0.15">
      <c r="A41" s="8" t="s">
        <v>116</v>
      </c>
      <c r="B41" s="4" t="s">
        <v>121</v>
      </c>
      <c r="C41" s="4" t="s">
        <v>122</v>
      </c>
      <c r="D41" s="9">
        <v>21</v>
      </c>
      <c r="E41" s="14" t="s">
        <v>123</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116</v>
      </c>
      <c r="B42" s="4" t="s">
        <v>121</v>
      </c>
      <c r="C42" s="4"/>
      <c r="D42" s="9">
        <v>22</v>
      </c>
      <c r="E42" s="14" t="s">
        <v>124</v>
      </c>
      <c r="F42" s="4" t="s">
        <v>125</v>
      </c>
      <c r="G42" s="4"/>
      <c r="H42" s="4">
        <v>3</v>
      </c>
      <c r="I42" s="4">
        <v>3</v>
      </c>
      <c r="J42" s="4">
        <v>3</v>
      </c>
      <c r="K42" s="4"/>
      <c r="L42" s="4"/>
      <c r="M42" s="4"/>
      <c r="N42" s="4"/>
      <c r="O42" s="4"/>
      <c r="P42" s="4"/>
      <c r="Q42" s="4"/>
      <c r="R42" s="4"/>
      <c r="S42" s="4"/>
      <c r="T42" s="4"/>
      <c r="U42" s="4"/>
      <c r="V42" s="4"/>
      <c r="W42" s="4"/>
      <c r="X42" s="4"/>
      <c r="Y42" s="4"/>
      <c r="Z42" s="4"/>
      <c r="AA42" s="4"/>
      <c r="AB42" s="4"/>
    </row>
    <row r="43" spans="1:28" ht="154" x14ac:dyDescent="0.15">
      <c r="A43" s="8" t="s">
        <v>116</v>
      </c>
      <c r="B43" s="4" t="s">
        <v>121</v>
      </c>
      <c r="C43" s="4" t="s">
        <v>127</v>
      </c>
      <c r="D43" s="9">
        <v>23</v>
      </c>
      <c r="E43" s="14" t="s">
        <v>128</v>
      </c>
      <c r="F43" s="4"/>
      <c r="G43" s="4"/>
      <c r="H43" s="4">
        <v>2</v>
      </c>
      <c r="I43" s="4">
        <v>2</v>
      </c>
      <c r="J43" s="4">
        <v>2</v>
      </c>
      <c r="K43" s="4" t="s">
        <v>129</v>
      </c>
      <c r="L43" s="4"/>
      <c r="M43" s="4"/>
      <c r="N43" s="4"/>
      <c r="O43" s="4"/>
      <c r="P43" s="4"/>
      <c r="Q43" s="4"/>
      <c r="R43" s="4"/>
      <c r="S43" s="4"/>
      <c r="T43" s="4"/>
      <c r="U43" s="4"/>
      <c r="V43" s="4"/>
      <c r="W43" s="4"/>
      <c r="X43" s="4"/>
      <c r="Y43" s="4"/>
      <c r="Z43" s="4"/>
      <c r="AA43" s="4"/>
      <c r="AB43" s="4"/>
    </row>
    <row r="44" spans="1:28" ht="168" x14ac:dyDescent="0.15">
      <c r="A44" s="8" t="s">
        <v>116</v>
      </c>
      <c r="B44" s="4" t="s">
        <v>121</v>
      </c>
      <c r="C44" s="4" t="s">
        <v>130</v>
      </c>
      <c r="D44" s="9" t="s">
        <v>131</v>
      </c>
      <c r="E44" s="14" t="s">
        <v>132</v>
      </c>
      <c r="F44" s="4"/>
      <c r="G44" s="4"/>
      <c r="H44" s="4">
        <v>3</v>
      </c>
      <c r="I44" s="4">
        <v>2</v>
      </c>
      <c r="J44" s="4">
        <v>3</v>
      </c>
      <c r="K44" s="4" t="s">
        <v>133</v>
      </c>
      <c r="L44" s="4"/>
      <c r="M44" s="4"/>
      <c r="N44" s="4"/>
      <c r="O44" s="4"/>
      <c r="P44" s="4"/>
      <c r="Q44" s="4"/>
      <c r="R44" s="4"/>
      <c r="S44" s="4"/>
      <c r="T44" s="4"/>
      <c r="U44" s="4"/>
      <c r="V44" s="4"/>
      <c r="W44" s="4"/>
      <c r="X44" s="4"/>
      <c r="Y44" s="4"/>
      <c r="Z44" s="4"/>
      <c r="AA44" s="4"/>
      <c r="AB44" s="4"/>
    </row>
    <row r="45" spans="1:28" ht="112" x14ac:dyDescent="0.15">
      <c r="A45" s="8" t="s">
        <v>116</v>
      </c>
      <c r="B45" s="4" t="s">
        <v>121</v>
      </c>
      <c r="C45" s="4" t="s">
        <v>130</v>
      </c>
      <c r="D45" s="9" t="s">
        <v>135</v>
      </c>
      <c r="E45" s="14" t="s">
        <v>136</v>
      </c>
      <c r="F45" s="4"/>
      <c r="G45" s="4"/>
      <c r="H45" s="4">
        <v>2</v>
      </c>
      <c r="I45" s="4">
        <v>2</v>
      </c>
      <c r="J45" s="4">
        <v>2</v>
      </c>
      <c r="K45" s="4" t="s">
        <v>137</v>
      </c>
      <c r="L45" s="4"/>
      <c r="M45" s="4"/>
      <c r="N45" s="4"/>
      <c r="O45" s="4"/>
      <c r="P45" s="4"/>
      <c r="Q45" s="4"/>
      <c r="R45" s="4"/>
      <c r="S45" s="4"/>
      <c r="T45" s="4"/>
      <c r="U45" s="4"/>
      <c r="V45" s="4"/>
      <c r="W45" s="4"/>
      <c r="X45" s="4"/>
      <c r="Y45" s="4"/>
      <c r="Z45" s="4"/>
      <c r="AA45" s="4"/>
      <c r="AB45" s="4"/>
    </row>
    <row r="46" spans="1:28" ht="28" x14ac:dyDescent="0.15">
      <c r="A46" s="8" t="s">
        <v>116</v>
      </c>
      <c r="B46" s="4" t="s">
        <v>121</v>
      </c>
      <c r="C46" s="4" t="s">
        <v>130</v>
      </c>
      <c r="D46" s="9" t="s">
        <v>138</v>
      </c>
      <c r="E46" s="14" t="s">
        <v>139</v>
      </c>
      <c r="F46" s="4"/>
      <c r="G46" s="4"/>
      <c r="H46" s="4">
        <v>3</v>
      </c>
      <c r="I46" s="4">
        <v>3</v>
      </c>
      <c r="J46" s="4">
        <v>3</v>
      </c>
      <c r="K46" s="4"/>
      <c r="L46" s="4"/>
      <c r="M46" s="4"/>
      <c r="N46" s="4"/>
      <c r="O46" s="4"/>
      <c r="P46" s="4"/>
      <c r="Q46" s="4"/>
      <c r="R46" s="4"/>
      <c r="S46" s="4"/>
      <c r="T46" s="4"/>
      <c r="U46" s="4"/>
      <c r="V46" s="4"/>
      <c r="W46" s="4"/>
      <c r="X46" s="4"/>
      <c r="Y46" s="4"/>
      <c r="Z46" s="4"/>
      <c r="AA46" s="4"/>
      <c r="AB46" s="4"/>
    </row>
    <row r="47" spans="1:28" ht="56" x14ac:dyDescent="0.15">
      <c r="A47" s="8" t="s">
        <v>116</v>
      </c>
      <c r="B47" s="4" t="s">
        <v>121</v>
      </c>
      <c r="C47" s="4" t="s">
        <v>140</v>
      </c>
      <c r="D47" s="9" t="s">
        <v>141</v>
      </c>
      <c r="E47" s="14" t="s">
        <v>142</v>
      </c>
      <c r="F47" s="4" t="s">
        <v>143</v>
      </c>
      <c r="G47" s="4"/>
      <c r="H47" s="4">
        <v>3</v>
      </c>
      <c r="I47" s="4">
        <v>3</v>
      </c>
      <c r="J47" s="4">
        <v>3</v>
      </c>
      <c r="K47" s="4" t="s">
        <v>144</v>
      </c>
      <c r="L47" s="4"/>
      <c r="M47" s="4"/>
      <c r="N47" s="4"/>
      <c r="O47" s="4"/>
      <c r="P47" s="4"/>
      <c r="Q47" s="4"/>
      <c r="R47" s="4"/>
      <c r="S47" s="4"/>
      <c r="T47" s="4"/>
      <c r="U47" s="4"/>
      <c r="V47" s="4"/>
      <c r="W47" s="4"/>
      <c r="X47" s="4"/>
      <c r="Y47" s="4"/>
      <c r="Z47" s="4"/>
      <c r="AA47" s="4"/>
      <c r="AB47" s="4"/>
    </row>
    <row r="48" spans="1:28" ht="56" x14ac:dyDescent="0.15">
      <c r="A48" s="8" t="s">
        <v>116</v>
      </c>
      <c r="B48" s="4" t="s">
        <v>121</v>
      </c>
      <c r="C48" s="4" t="s">
        <v>140</v>
      </c>
      <c r="D48" s="9" t="s">
        <v>145</v>
      </c>
      <c r="E48" s="14" t="s">
        <v>146</v>
      </c>
      <c r="F48" s="4" t="s">
        <v>147</v>
      </c>
      <c r="G48" s="4"/>
      <c r="H48" s="4">
        <v>3</v>
      </c>
      <c r="I48" s="4">
        <v>3</v>
      </c>
      <c r="J48" s="4">
        <v>0</v>
      </c>
      <c r="K48" s="4" t="s">
        <v>149</v>
      </c>
      <c r="L48" s="4"/>
      <c r="M48" s="4"/>
      <c r="N48" s="4"/>
      <c r="O48" s="4"/>
      <c r="P48" s="4"/>
      <c r="Q48" s="4"/>
      <c r="R48" s="4"/>
      <c r="S48" s="4"/>
      <c r="T48" s="4"/>
      <c r="U48" s="4"/>
      <c r="V48" s="4"/>
      <c r="W48" s="4"/>
      <c r="X48" s="4"/>
      <c r="Y48" s="4"/>
      <c r="Z48" s="4"/>
      <c r="AA48" s="4"/>
      <c r="AB48" s="4"/>
    </row>
    <row r="49" spans="1:28" ht="28" hidden="1" x14ac:dyDescent="0.15">
      <c r="A49" s="8" t="s">
        <v>25</v>
      </c>
      <c r="B49" s="4" t="s">
        <v>150</v>
      </c>
      <c r="C49" s="4" t="s">
        <v>151</v>
      </c>
      <c r="D49" s="9"/>
      <c r="E49" s="4" t="s">
        <v>152</v>
      </c>
      <c r="F49" s="4"/>
      <c r="G49" s="4"/>
      <c r="H49" s="4"/>
      <c r="I49" s="4"/>
      <c r="J49" s="4"/>
      <c r="K49" s="4"/>
      <c r="L49" s="4"/>
      <c r="M49" s="4"/>
      <c r="N49" s="4"/>
      <c r="O49" s="4"/>
      <c r="P49" s="4"/>
      <c r="Q49" s="4"/>
      <c r="R49" s="4"/>
      <c r="S49" s="4"/>
      <c r="T49" s="4"/>
      <c r="U49" s="4"/>
      <c r="V49" s="4"/>
      <c r="W49" s="4"/>
      <c r="X49" s="4"/>
      <c r="Y49" s="4"/>
      <c r="Z49" s="4"/>
      <c r="AA49" s="4"/>
      <c r="AB49" s="4"/>
    </row>
    <row r="50" spans="1:28" ht="140" x14ac:dyDescent="0.15">
      <c r="A50" s="8" t="s">
        <v>153</v>
      </c>
      <c r="B50" s="4" t="s">
        <v>150</v>
      </c>
      <c r="C50" s="4" t="s">
        <v>151</v>
      </c>
      <c r="D50" s="9" t="s">
        <v>154</v>
      </c>
      <c r="E50" s="14" t="s">
        <v>155</v>
      </c>
      <c r="F50" s="4" t="s">
        <v>156</v>
      </c>
      <c r="G50" s="4"/>
      <c r="H50" s="4">
        <v>3</v>
      </c>
      <c r="I50" s="4">
        <v>3</v>
      </c>
      <c r="J50" s="4">
        <v>3</v>
      </c>
      <c r="K50" s="4" t="s">
        <v>160</v>
      </c>
      <c r="L50" s="4"/>
      <c r="M50" s="4"/>
      <c r="N50" s="4"/>
      <c r="O50" s="4"/>
      <c r="P50" s="4"/>
      <c r="Q50" s="4"/>
      <c r="R50" s="4"/>
      <c r="S50" s="4"/>
      <c r="T50" s="4"/>
      <c r="U50" s="4"/>
      <c r="V50" s="4"/>
      <c r="W50" s="4"/>
      <c r="X50" s="4"/>
      <c r="Y50" s="4"/>
      <c r="Z50" s="4"/>
      <c r="AA50" s="4"/>
      <c r="AB50" s="4"/>
    </row>
    <row r="51" spans="1:28" ht="28" x14ac:dyDescent="0.15">
      <c r="A51" s="8" t="s">
        <v>153</v>
      </c>
      <c r="B51" s="4" t="s">
        <v>150</v>
      </c>
      <c r="C51" s="4" t="s">
        <v>151</v>
      </c>
      <c r="D51" s="9" t="s">
        <v>158</v>
      </c>
      <c r="E51" s="14" t="s">
        <v>159</v>
      </c>
      <c r="F51" s="4"/>
      <c r="G51" s="4"/>
      <c r="H51" s="4">
        <v>3</v>
      </c>
      <c r="I51" s="4">
        <v>3</v>
      </c>
      <c r="J51" s="4">
        <v>3</v>
      </c>
      <c r="K51" s="4"/>
      <c r="L51" s="4"/>
      <c r="M51" s="4"/>
      <c r="N51" s="4"/>
      <c r="O51" s="4"/>
      <c r="P51" s="4"/>
      <c r="Q51" s="4"/>
      <c r="R51" s="4"/>
      <c r="S51" s="4"/>
      <c r="T51" s="4"/>
      <c r="U51" s="4"/>
      <c r="V51" s="4"/>
      <c r="W51" s="4"/>
      <c r="X51" s="4"/>
      <c r="Y51" s="4"/>
      <c r="Z51" s="4"/>
      <c r="AA51" s="4"/>
      <c r="AB51" s="4"/>
    </row>
    <row r="52" spans="1:28" ht="42" x14ac:dyDescent="0.15">
      <c r="A52" s="8" t="s">
        <v>153</v>
      </c>
      <c r="B52" s="4" t="s">
        <v>150</v>
      </c>
      <c r="C52" s="4" t="s">
        <v>151</v>
      </c>
      <c r="D52" s="9" t="s">
        <v>162</v>
      </c>
      <c r="E52" s="14" t="s">
        <v>163</v>
      </c>
      <c r="F52" s="4"/>
      <c r="G52" s="4"/>
      <c r="H52" s="4">
        <v>3</v>
      </c>
      <c r="I52" s="4">
        <v>3</v>
      </c>
      <c r="J52" s="4">
        <v>3</v>
      </c>
      <c r="K52" s="4"/>
      <c r="L52" s="4"/>
      <c r="M52" s="4"/>
      <c r="N52" s="4"/>
      <c r="O52" s="4"/>
      <c r="P52" s="4"/>
      <c r="Q52" s="4"/>
      <c r="R52" s="4"/>
      <c r="S52" s="4"/>
      <c r="T52" s="4"/>
      <c r="U52" s="4"/>
      <c r="V52" s="4"/>
      <c r="W52" s="4"/>
      <c r="X52" s="4"/>
      <c r="Y52" s="4"/>
      <c r="Z52" s="4"/>
      <c r="AA52" s="4"/>
      <c r="AB52" s="4"/>
    </row>
    <row r="53" spans="1:28" ht="42" x14ac:dyDescent="0.15">
      <c r="A53" s="8" t="s">
        <v>165</v>
      </c>
      <c r="B53" s="4" t="s">
        <v>150</v>
      </c>
      <c r="C53" s="4" t="s">
        <v>166</v>
      </c>
      <c r="D53" s="9" t="s">
        <v>167</v>
      </c>
      <c r="E53" s="14" t="s">
        <v>168</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8" t="s">
        <v>165</v>
      </c>
      <c r="B54" s="4"/>
      <c r="C54" s="4"/>
      <c r="D54" s="9" t="s">
        <v>167</v>
      </c>
      <c r="E54" s="14" t="s">
        <v>169</v>
      </c>
      <c r="F54" s="4" t="s">
        <v>170</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165</v>
      </c>
      <c r="B55" s="4"/>
      <c r="C55" s="4"/>
      <c r="D55" s="9" t="s">
        <v>167</v>
      </c>
      <c r="E55" s="14" t="s">
        <v>171</v>
      </c>
      <c r="F55" s="4" t="s">
        <v>172</v>
      </c>
      <c r="G55" s="4"/>
      <c r="H55" s="4">
        <v>3</v>
      </c>
      <c r="I55" s="4">
        <v>3</v>
      </c>
      <c r="J55" s="4">
        <v>2</v>
      </c>
      <c r="K55" s="4"/>
      <c r="L55" s="4"/>
      <c r="M55" s="4"/>
      <c r="N55" s="4"/>
      <c r="O55" s="4"/>
      <c r="P55" s="4"/>
      <c r="Q55" s="4"/>
      <c r="R55" s="4"/>
      <c r="S55" s="4"/>
      <c r="T55" s="4"/>
      <c r="U55" s="4"/>
      <c r="V55" s="4"/>
      <c r="W55" s="4"/>
      <c r="X55" s="4"/>
      <c r="Y55" s="4"/>
      <c r="Z55" s="4"/>
      <c r="AA55" s="4"/>
      <c r="AB55" s="4"/>
    </row>
    <row r="56" spans="1:28" ht="56" x14ac:dyDescent="0.15">
      <c r="A56" s="8" t="s">
        <v>165</v>
      </c>
      <c r="B56" s="4" t="s">
        <v>150</v>
      </c>
      <c r="C56" s="4" t="s">
        <v>166</v>
      </c>
      <c r="D56" s="9" t="s">
        <v>167</v>
      </c>
      <c r="E56" s="14" t="s">
        <v>174</v>
      </c>
      <c r="F56" s="4" t="s">
        <v>175</v>
      </c>
      <c r="G56" s="4"/>
      <c r="H56" s="4">
        <v>3</v>
      </c>
      <c r="I56" s="4">
        <v>3</v>
      </c>
      <c r="J56" s="4">
        <v>2</v>
      </c>
      <c r="K56" s="4"/>
      <c r="L56" s="4"/>
      <c r="M56" s="4"/>
      <c r="N56" s="4"/>
      <c r="O56" s="4"/>
      <c r="P56" s="4"/>
      <c r="Q56" s="4"/>
      <c r="R56" s="4"/>
      <c r="S56" s="4"/>
      <c r="T56" s="4"/>
      <c r="U56" s="4"/>
      <c r="V56" s="4"/>
      <c r="W56" s="4"/>
      <c r="X56" s="4"/>
      <c r="Y56" s="4"/>
      <c r="Z56" s="4"/>
      <c r="AA56" s="4"/>
      <c r="AB56" s="4"/>
    </row>
    <row r="57" spans="1:28" ht="70" x14ac:dyDescent="0.15">
      <c r="A57" s="8" t="s">
        <v>165</v>
      </c>
      <c r="B57" s="4"/>
      <c r="C57" s="4"/>
      <c r="D57" s="9" t="s">
        <v>167</v>
      </c>
      <c r="E57" s="14" t="s">
        <v>177</v>
      </c>
      <c r="F57" s="4" t="s">
        <v>178</v>
      </c>
      <c r="G57" s="4"/>
      <c r="H57" s="4">
        <v>3</v>
      </c>
      <c r="I57" s="4">
        <v>3</v>
      </c>
      <c r="J57" s="4">
        <v>3</v>
      </c>
      <c r="K57" s="4"/>
      <c r="L57" s="4"/>
      <c r="M57" s="4"/>
      <c r="N57" s="4"/>
      <c r="O57" s="4"/>
      <c r="P57" s="4"/>
      <c r="Q57" s="4"/>
      <c r="R57" s="4"/>
      <c r="S57" s="4"/>
      <c r="T57" s="4"/>
      <c r="U57" s="4"/>
      <c r="V57" s="4"/>
      <c r="W57" s="4"/>
      <c r="X57" s="4"/>
      <c r="Y57" s="4"/>
      <c r="Z57" s="4"/>
      <c r="AA57" s="4"/>
      <c r="AB57" s="4"/>
    </row>
    <row r="58" spans="1:28" ht="70" x14ac:dyDescent="0.15">
      <c r="A58" s="8" t="s">
        <v>165</v>
      </c>
      <c r="B58" s="4"/>
      <c r="C58" s="4"/>
      <c r="D58" s="9" t="s">
        <v>167</v>
      </c>
      <c r="E58" s="14" t="s">
        <v>179</v>
      </c>
      <c r="F58" s="4"/>
      <c r="G58" s="4"/>
      <c r="H58" s="4">
        <v>1</v>
      </c>
      <c r="I58" s="4">
        <v>3</v>
      </c>
      <c r="J58" s="4">
        <v>3</v>
      </c>
      <c r="K58" s="4" t="s">
        <v>181</v>
      </c>
      <c r="L58" s="4"/>
      <c r="M58" s="4"/>
      <c r="N58" s="4"/>
      <c r="O58" s="4"/>
      <c r="P58" s="4"/>
      <c r="Q58" s="4"/>
      <c r="R58" s="4"/>
      <c r="S58" s="4"/>
      <c r="T58" s="4"/>
      <c r="U58" s="4"/>
      <c r="V58" s="4"/>
      <c r="W58" s="4"/>
      <c r="X58" s="4"/>
      <c r="Y58" s="4"/>
      <c r="Z58" s="4"/>
      <c r="AA58" s="4"/>
      <c r="AB58" s="4"/>
    </row>
    <row r="59" spans="1:28" ht="14" x14ac:dyDescent="0.15">
      <c r="A59" s="8" t="s">
        <v>165</v>
      </c>
      <c r="B59" s="4"/>
      <c r="C59" s="4"/>
      <c r="D59" s="9" t="s">
        <v>167</v>
      </c>
      <c r="E59" s="14" t="s">
        <v>182</v>
      </c>
      <c r="F59" s="4"/>
      <c r="G59" s="4"/>
      <c r="H59" s="4">
        <v>3</v>
      </c>
      <c r="I59" s="4">
        <v>3</v>
      </c>
      <c r="J59" s="4">
        <v>3</v>
      </c>
      <c r="K59" s="4"/>
      <c r="L59" s="4"/>
      <c r="M59" s="4"/>
      <c r="N59" s="4"/>
      <c r="O59" s="4"/>
      <c r="P59" s="4"/>
      <c r="Q59" s="4"/>
      <c r="R59" s="4"/>
      <c r="S59" s="4"/>
      <c r="T59" s="4"/>
      <c r="U59" s="4"/>
      <c r="V59" s="4"/>
      <c r="W59" s="4"/>
      <c r="X59" s="4"/>
      <c r="Y59" s="4"/>
      <c r="Z59" s="4"/>
      <c r="AA59" s="4"/>
      <c r="AB59" s="4"/>
    </row>
    <row r="60" spans="1:28" ht="14" x14ac:dyDescent="0.15">
      <c r="A60" s="8" t="s">
        <v>165</v>
      </c>
      <c r="B60" s="4"/>
      <c r="C60" s="4"/>
      <c r="D60" s="9" t="s">
        <v>167</v>
      </c>
      <c r="E60" s="14" t="s">
        <v>183</v>
      </c>
      <c r="F60" s="4"/>
      <c r="G60" s="4"/>
      <c r="H60" s="4">
        <v>3</v>
      </c>
      <c r="I60" s="4">
        <v>3</v>
      </c>
      <c r="J60" s="4">
        <v>3</v>
      </c>
      <c r="K60" s="4"/>
      <c r="L60" s="4"/>
      <c r="M60" s="4"/>
      <c r="N60" s="4"/>
      <c r="O60" s="4"/>
      <c r="P60" s="4"/>
      <c r="Q60" s="4"/>
      <c r="R60" s="4"/>
      <c r="S60" s="4"/>
      <c r="T60" s="4"/>
      <c r="U60" s="4"/>
      <c r="V60" s="4"/>
      <c r="W60" s="4"/>
      <c r="X60" s="4"/>
      <c r="Y60" s="4"/>
      <c r="Z60" s="4"/>
      <c r="AA60" s="4"/>
      <c r="AB60" s="4"/>
    </row>
    <row r="61" spans="1:28" ht="224" x14ac:dyDescent="0.15">
      <c r="A61" s="8" t="s">
        <v>184</v>
      </c>
      <c r="B61" s="4" t="s">
        <v>150</v>
      </c>
      <c r="C61" s="4" t="s">
        <v>166</v>
      </c>
      <c r="D61" s="9" t="s">
        <v>185</v>
      </c>
      <c r="E61" s="14" t="s">
        <v>186</v>
      </c>
      <c r="F61" s="4"/>
      <c r="G61" s="4"/>
      <c r="H61" s="4">
        <v>3</v>
      </c>
      <c r="I61" s="4">
        <v>3</v>
      </c>
      <c r="J61" s="4">
        <v>3</v>
      </c>
      <c r="K61" s="4" t="s">
        <v>191</v>
      </c>
      <c r="L61" s="4"/>
      <c r="M61" s="4"/>
      <c r="N61" s="4"/>
      <c r="O61" s="4"/>
      <c r="P61" s="4"/>
      <c r="Q61" s="4"/>
      <c r="R61" s="4"/>
      <c r="S61" s="4"/>
      <c r="T61" s="4"/>
      <c r="U61" s="4"/>
      <c r="V61" s="4"/>
      <c r="W61" s="4"/>
      <c r="X61" s="4"/>
      <c r="Y61" s="4"/>
      <c r="Z61" s="4"/>
      <c r="AA61" s="4"/>
      <c r="AB61" s="4"/>
    </row>
    <row r="62" spans="1:28" ht="42" x14ac:dyDescent="0.15">
      <c r="A62" s="8" t="s">
        <v>184</v>
      </c>
      <c r="B62" s="4" t="s">
        <v>150</v>
      </c>
      <c r="C62" s="4" t="s">
        <v>166</v>
      </c>
      <c r="D62" s="9" t="s">
        <v>187</v>
      </c>
      <c r="E62" s="14" t="s">
        <v>188</v>
      </c>
      <c r="F62" s="4"/>
      <c r="G62" s="4"/>
      <c r="H62" s="4">
        <v>3</v>
      </c>
      <c r="I62" s="4">
        <v>3</v>
      </c>
      <c r="J62" s="4">
        <v>3</v>
      </c>
      <c r="K62" s="4"/>
      <c r="L62" s="4"/>
      <c r="M62" s="4"/>
      <c r="N62" s="4"/>
      <c r="O62" s="4"/>
      <c r="P62" s="4"/>
      <c r="Q62" s="4"/>
      <c r="R62" s="4"/>
      <c r="S62" s="4"/>
      <c r="T62" s="4"/>
      <c r="U62" s="4"/>
      <c r="V62" s="4"/>
      <c r="W62" s="4"/>
      <c r="X62" s="4"/>
      <c r="Y62" s="4"/>
      <c r="Z62" s="4"/>
      <c r="AA62" s="4"/>
      <c r="AB62" s="4"/>
    </row>
    <row r="63" spans="1:28" ht="56" x14ac:dyDescent="0.15">
      <c r="A63" s="8" t="s">
        <v>184</v>
      </c>
      <c r="B63" s="4" t="s">
        <v>150</v>
      </c>
      <c r="C63" s="4" t="s">
        <v>166</v>
      </c>
      <c r="D63" s="9" t="s">
        <v>189</v>
      </c>
      <c r="E63" s="14" t="s">
        <v>190</v>
      </c>
      <c r="F63" s="4"/>
      <c r="G63" s="4"/>
      <c r="H63" s="4">
        <v>2</v>
      </c>
      <c r="I63" s="4">
        <v>3</v>
      </c>
      <c r="J63" s="4">
        <v>3</v>
      </c>
      <c r="K63" s="4" t="s">
        <v>199</v>
      </c>
      <c r="L63" s="4"/>
      <c r="M63" s="4"/>
      <c r="N63" s="4"/>
      <c r="O63" s="4"/>
      <c r="P63" s="4"/>
      <c r="Q63" s="4"/>
      <c r="R63" s="4"/>
      <c r="S63" s="4"/>
      <c r="T63" s="4"/>
      <c r="U63" s="4"/>
      <c r="V63" s="4"/>
      <c r="W63" s="4"/>
      <c r="X63" s="4"/>
      <c r="Y63" s="4"/>
      <c r="Z63" s="4"/>
      <c r="AA63" s="4"/>
      <c r="AB63" s="4"/>
    </row>
    <row r="64" spans="1:28" ht="126" x14ac:dyDescent="0.15">
      <c r="A64" s="8" t="s">
        <v>193</v>
      </c>
      <c r="B64" s="4" t="s">
        <v>150</v>
      </c>
      <c r="C64" s="4" t="s">
        <v>166</v>
      </c>
      <c r="D64" s="9" t="s">
        <v>194</v>
      </c>
      <c r="E64" s="14" t="s">
        <v>195</v>
      </c>
      <c r="F64" s="4"/>
      <c r="G64" s="4"/>
      <c r="H64" s="4">
        <v>3</v>
      </c>
      <c r="I64" s="4">
        <v>3</v>
      </c>
      <c r="J64" s="4">
        <v>3</v>
      </c>
      <c r="K64" s="4" t="s">
        <v>204</v>
      </c>
      <c r="L64" s="4"/>
      <c r="M64" s="4"/>
      <c r="N64" s="4"/>
      <c r="O64" s="4"/>
      <c r="P64" s="4"/>
      <c r="Q64" s="4"/>
      <c r="R64" s="4"/>
      <c r="S64" s="4"/>
      <c r="T64" s="4"/>
      <c r="U64" s="4"/>
      <c r="V64" s="4"/>
      <c r="W64" s="4"/>
      <c r="X64" s="4"/>
      <c r="Y64" s="4"/>
      <c r="Z64" s="4"/>
      <c r="AA64" s="4"/>
      <c r="AB64" s="4"/>
    </row>
    <row r="65" spans="1:28" ht="70" x14ac:dyDescent="0.15">
      <c r="A65" s="8" t="s">
        <v>197</v>
      </c>
      <c r="B65" s="4" t="s">
        <v>150</v>
      </c>
      <c r="C65" s="4" t="s">
        <v>198</v>
      </c>
      <c r="D65" s="9">
        <v>28</v>
      </c>
      <c r="E65" s="14" t="s">
        <v>200</v>
      </c>
      <c r="F65" s="4"/>
      <c r="G65" s="4"/>
      <c r="H65" s="4">
        <v>2</v>
      </c>
      <c r="I65" s="4">
        <v>2</v>
      </c>
      <c r="J65" s="4">
        <v>2</v>
      </c>
      <c r="K65" s="4" t="s">
        <v>209</v>
      </c>
      <c r="L65" s="4"/>
      <c r="M65" s="4"/>
      <c r="N65" s="4"/>
      <c r="O65" s="4"/>
      <c r="P65" s="4"/>
      <c r="Q65" s="4"/>
      <c r="R65" s="4"/>
      <c r="S65" s="4"/>
      <c r="T65" s="4"/>
      <c r="U65" s="4"/>
      <c r="V65" s="4"/>
      <c r="W65" s="4"/>
      <c r="X65" s="4"/>
      <c r="Y65" s="4"/>
      <c r="Z65" s="4"/>
      <c r="AA65" s="4"/>
      <c r="AB65" s="4"/>
    </row>
    <row r="66" spans="1:28" ht="42" x14ac:dyDescent="0.15">
      <c r="A66" s="8" t="s">
        <v>202</v>
      </c>
      <c r="B66" s="4" t="s">
        <v>150</v>
      </c>
      <c r="C66" s="4" t="s">
        <v>203</v>
      </c>
      <c r="D66" s="9">
        <v>29</v>
      </c>
      <c r="E66" s="14" t="s">
        <v>205</v>
      </c>
      <c r="F66" s="4" t="s">
        <v>206</v>
      </c>
      <c r="G66" s="4"/>
      <c r="H66" s="4">
        <v>2</v>
      </c>
      <c r="I66" s="4">
        <v>2</v>
      </c>
      <c r="J66" s="4">
        <v>3</v>
      </c>
      <c r="K66" s="4"/>
      <c r="L66" s="4"/>
      <c r="M66" s="4"/>
      <c r="N66" s="4"/>
      <c r="O66" s="4"/>
      <c r="P66" s="4"/>
      <c r="Q66" s="4"/>
      <c r="R66" s="4"/>
      <c r="S66" s="4"/>
      <c r="T66" s="4"/>
      <c r="U66" s="4"/>
      <c r="V66" s="4"/>
      <c r="W66" s="4"/>
      <c r="X66" s="4"/>
      <c r="Y66" s="4"/>
      <c r="Z66" s="4"/>
      <c r="AA66" s="4"/>
      <c r="AB66" s="4"/>
    </row>
    <row r="67" spans="1:28" ht="42" x14ac:dyDescent="0.15">
      <c r="A67" s="8" t="s">
        <v>207</v>
      </c>
      <c r="B67" s="4" t="s">
        <v>150</v>
      </c>
      <c r="C67" s="4" t="s">
        <v>208</v>
      </c>
      <c r="D67" s="9">
        <v>30</v>
      </c>
      <c r="E67" s="14" t="s">
        <v>221</v>
      </c>
      <c r="F67" s="4" t="s">
        <v>206</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25</v>
      </c>
      <c r="B68" s="4" t="s">
        <v>150</v>
      </c>
      <c r="C68" s="4" t="s">
        <v>211</v>
      </c>
      <c r="D68" s="9">
        <v>31</v>
      </c>
      <c r="E68" s="4" t="s">
        <v>212</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25</v>
      </c>
      <c r="B69" s="4" t="s">
        <v>150</v>
      </c>
      <c r="C69" s="4" t="s">
        <v>213</v>
      </c>
      <c r="D69" s="9" t="s">
        <v>214</v>
      </c>
      <c r="E69" s="4" t="s">
        <v>215</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25</v>
      </c>
      <c r="B70" s="4" t="s">
        <v>150</v>
      </c>
      <c r="C70" s="4" t="s">
        <v>213</v>
      </c>
      <c r="D70" s="9" t="s">
        <v>216</v>
      </c>
      <c r="E70" s="4" t="s">
        <v>217</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25</v>
      </c>
      <c r="B71" s="4" t="s">
        <v>150</v>
      </c>
      <c r="C71" s="4" t="s">
        <v>213</v>
      </c>
      <c r="D71" s="9" t="s">
        <v>218</v>
      </c>
      <c r="E71" s="4" t="s">
        <v>219</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25</v>
      </c>
      <c r="B72" s="4" t="s">
        <v>150</v>
      </c>
      <c r="C72" s="4" t="s">
        <v>213</v>
      </c>
      <c r="D72" s="9" t="s">
        <v>218</v>
      </c>
      <c r="E72" s="4" t="s">
        <v>220</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tabSelected="1" workbookViewId="0">
      <pane xSplit="5" ySplit="5" topLeftCell="F30" activePane="bottomRight" state="frozen"/>
      <selection pane="topRight" activeCell="F1" sqref="F1"/>
      <selection pane="bottomLeft" activeCell="A6" sqref="A6"/>
      <selection pane="bottomRight" activeCell="E38" sqref="E38"/>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style="16" customWidth="1"/>
    <col min="6" max="6" width="30.5" customWidth="1"/>
    <col min="7" max="7" width="15.1640625" customWidth="1"/>
    <col min="8" max="8" width="16.1640625" customWidth="1"/>
  </cols>
  <sheetData>
    <row r="1" spans="1:28" ht="13" x14ac:dyDescent="0.15">
      <c r="A1" s="1"/>
      <c r="B1" s="2"/>
      <c r="C1" s="3"/>
      <c r="D1" s="1">
        <v>0</v>
      </c>
      <c r="E1" s="12"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F4" s="2"/>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14" t="s">
        <v>19</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22</v>
      </c>
      <c r="E12" s="14" t="s">
        <v>23</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25</v>
      </c>
      <c r="B13" s="4" t="s">
        <v>16</v>
      </c>
      <c r="C13" s="4" t="s">
        <v>27</v>
      </c>
      <c r="D13" s="9">
        <v>2</v>
      </c>
      <c r="E13" s="4" t="s">
        <v>29</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30</v>
      </c>
      <c r="D14" s="9">
        <v>3</v>
      </c>
      <c r="E14" s="14" t="s">
        <v>31</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25</v>
      </c>
      <c r="B15" s="4" t="s">
        <v>16</v>
      </c>
      <c r="C15" s="4" t="s">
        <v>32</v>
      </c>
      <c r="D15" s="9" t="s">
        <v>33</v>
      </c>
      <c r="E15" s="4" t="s">
        <v>34</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25</v>
      </c>
      <c r="B16" s="4" t="s">
        <v>16</v>
      </c>
      <c r="C16" s="4" t="s">
        <v>32</v>
      </c>
      <c r="D16" s="9" t="s">
        <v>35</v>
      </c>
      <c r="E16" s="4" t="s">
        <v>36</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25</v>
      </c>
      <c r="B17" s="4" t="s">
        <v>16</v>
      </c>
      <c r="C17" s="4" t="s">
        <v>32</v>
      </c>
      <c r="D17" s="9" t="s">
        <v>37</v>
      </c>
      <c r="E17" s="4" t="s">
        <v>38</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39</v>
      </c>
      <c r="D18" s="9">
        <v>5</v>
      </c>
      <c r="E18" s="14" t="s">
        <v>40</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25</v>
      </c>
      <c r="B19" s="4" t="s">
        <v>16</v>
      </c>
      <c r="C19" s="4" t="s">
        <v>42</v>
      </c>
      <c r="D19" s="9" t="s">
        <v>43</v>
      </c>
      <c r="E19" s="4" t="s">
        <v>44</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25</v>
      </c>
      <c r="B20" s="4" t="s">
        <v>16</v>
      </c>
      <c r="C20" s="4" t="s">
        <v>42</v>
      </c>
      <c r="D20" s="9" t="s">
        <v>45</v>
      </c>
      <c r="E20" s="4" t="s">
        <v>46</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25</v>
      </c>
      <c r="B21" s="4" t="s">
        <v>16</v>
      </c>
      <c r="C21" s="4" t="s">
        <v>42</v>
      </c>
      <c r="D21" s="9" t="s">
        <v>47</v>
      </c>
      <c r="E21" s="4" t="s">
        <v>48</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49</v>
      </c>
      <c r="B22" s="4" t="s">
        <v>50</v>
      </c>
      <c r="C22" s="4" t="s">
        <v>51</v>
      </c>
      <c r="D22" s="9">
        <v>7</v>
      </c>
      <c r="E22" s="14" t="s">
        <v>52</v>
      </c>
      <c r="F22" s="4"/>
      <c r="G22" s="4"/>
      <c r="H22" s="4">
        <v>3</v>
      </c>
      <c r="I22" s="4">
        <v>3</v>
      </c>
      <c r="J22" s="4">
        <v>3</v>
      </c>
      <c r="K22" s="4" t="s">
        <v>61</v>
      </c>
      <c r="L22" s="4"/>
      <c r="M22" s="4"/>
      <c r="N22" s="4"/>
      <c r="O22" s="4"/>
      <c r="P22" s="4"/>
      <c r="Q22" s="4"/>
      <c r="R22" s="4"/>
      <c r="S22" s="4"/>
      <c r="T22" s="4"/>
      <c r="U22" s="4"/>
      <c r="V22" s="4"/>
      <c r="W22" s="4"/>
      <c r="X22" s="4"/>
      <c r="Y22" s="4"/>
      <c r="Z22" s="4"/>
      <c r="AA22" s="4"/>
      <c r="AB22" s="4"/>
    </row>
    <row r="23" spans="1:28" ht="28" x14ac:dyDescent="0.15">
      <c r="A23" s="8" t="s">
        <v>49</v>
      </c>
      <c r="B23" s="4" t="s">
        <v>50</v>
      </c>
      <c r="C23" s="4" t="s">
        <v>54</v>
      </c>
      <c r="D23" s="9">
        <v>8</v>
      </c>
      <c r="E23" s="14" t="s">
        <v>55</v>
      </c>
      <c r="F23" s="4" t="s">
        <v>56</v>
      </c>
      <c r="G23" s="4"/>
      <c r="H23" s="4">
        <v>3</v>
      </c>
      <c r="I23" s="4">
        <v>3</v>
      </c>
      <c r="J23" s="4">
        <v>3</v>
      </c>
      <c r="K23" s="4"/>
      <c r="L23" s="4"/>
      <c r="M23" s="4"/>
      <c r="N23" s="4"/>
      <c r="O23" s="4"/>
      <c r="P23" s="4"/>
      <c r="Q23" s="4"/>
      <c r="R23" s="4"/>
      <c r="S23" s="4"/>
      <c r="T23" s="4"/>
      <c r="U23" s="4"/>
      <c r="V23" s="4"/>
      <c r="W23" s="4"/>
      <c r="X23" s="4"/>
      <c r="Y23" s="4"/>
      <c r="Z23" s="4"/>
      <c r="AA23" s="4"/>
      <c r="AB23" s="4"/>
    </row>
    <row r="24" spans="1:28" ht="42" x14ac:dyDescent="0.15">
      <c r="A24" s="8" t="s">
        <v>58</v>
      </c>
      <c r="B24" s="4" t="s">
        <v>59</v>
      </c>
      <c r="C24" s="4" t="s">
        <v>60</v>
      </c>
      <c r="D24" s="9">
        <v>9</v>
      </c>
      <c r="E24" s="14" t="s">
        <v>62</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58</v>
      </c>
      <c r="B25" s="4" t="s">
        <v>59</v>
      </c>
      <c r="C25" s="4" t="s">
        <v>64</v>
      </c>
      <c r="D25" s="9">
        <v>12</v>
      </c>
      <c r="E25" s="14" t="s">
        <v>65</v>
      </c>
      <c r="F25" s="4"/>
      <c r="G25" s="4"/>
      <c r="H25" s="4">
        <v>3</v>
      </c>
      <c r="I25" s="4">
        <v>3</v>
      </c>
      <c r="J25" s="4">
        <v>3</v>
      </c>
      <c r="K25" s="4"/>
      <c r="L25" s="4"/>
      <c r="M25" s="4"/>
      <c r="N25" s="4"/>
      <c r="O25" s="4"/>
      <c r="P25" s="4"/>
      <c r="Q25" s="4"/>
      <c r="R25" s="4"/>
      <c r="S25" s="4"/>
      <c r="T25" s="4"/>
      <c r="U25" s="4"/>
      <c r="V25" s="4"/>
      <c r="W25" s="4"/>
      <c r="X25" s="4"/>
      <c r="Y25" s="4"/>
      <c r="Z25" s="4"/>
      <c r="AA25" s="4"/>
      <c r="AB25" s="4"/>
    </row>
    <row r="26" spans="1:28" ht="126" x14ac:dyDescent="0.15">
      <c r="A26" s="4" t="s">
        <v>66</v>
      </c>
      <c r="B26" s="4" t="s">
        <v>59</v>
      </c>
      <c r="C26" s="4" t="s">
        <v>67</v>
      </c>
      <c r="D26" s="9">
        <v>10</v>
      </c>
      <c r="E26" s="14" t="s">
        <v>68</v>
      </c>
      <c r="F26" s="4"/>
      <c r="G26" s="4"/>
      <c r="H26" s="4">
        <v>3</v>
      </c>
      <c r="I26" s="4">
        <v>3</v>
      </c>
      <c r="J26" s="4">
        <v>3</v>
      </c>
      <c r="K26" s="4" t="s">
        <v>74</v>
      </c>
      <c r="L26" s="4"/>
      <c r="M26" s="4"/>
      <c r="N26" s="4"/>
      <c r="O26" s="4"/>
      <c r="P26" s="4"/>
      <c r="Q26" s="4"/>
      <c r="R26" s="4"/>
      <c r="S26" s="4"/>
      <c r="T26" s="4"/>
      <c r="U26" s="4"/>
      <c r="V26" s="4"/>
      <c r="W26" s="4"/>
      <c r="X26" s="4"/>
      <c r="Y26" s="4"/>
      <c r="Z26" s="4"/>
      <c r="AA26" s="4"/>
      <c r="AB26" s="4"/>
    </row>
    <row r="27" spans="1:28" ht="196" x14ac:dyDescent="0.15">
      <c r="A27" s="8" t="s">
        <v>70</v>
      </c>
      <c r="B27" s="4" t="s">
        <v>59</v>
      </c>
      <c r="C27" s="4" t="s">
        <v>71</v>
      </c>
      <c r="D27" s="9">
        <v>11</v>
      </c>
      <c r="E27" s="14" t="s">
        <v>72</v>
      </c>
      <c r="F27" s="4"/>
      <c r="G27" s="4"/>
      <c r="H27" s="4">
        <v>3</v>
      </c>
      <c r="I27" s="4">
        <v>3</v>
      </c>
      <c r="J27" s="4">
        <v>3</v>
      </c>
      <c r="K27" s="4" t="s">
        <v>80</v>
      </c>
      <c r="L27" s="4"/>
      <c r="M27" s="4"/>
      <c r="N27" s="4"/>
      <c r="O27" s="4"/>
      <c r="P27" s="4"/>
      <c r="Q27" s="4"/>
      <c r="R27" s="4"/>
      <c r="S27" s="4"/>
      <c r="T27" s="4"/>
      <c r="U27" s="4"/>
      <c r="V27" s="4"/>
      <c r="W27" s="4"/>
      <c r="X27" s="4"/>
      <c r="Y27" s="4"/>
      <c r="Z27" s="4"/>
      <c r="AA27" s="4"/>
      <c r="AB27" s="4"/>
    </row>
    <row r="28" spans="1:28" ht="28" x14ac:dyDescent="0.15">
      <c r="A28" s="8" t="s">
        <v>75</v>
      </c>
      <c r="B28" s="4" t="s">
        <v>59</v>
      </c>
      <c r="C28" s="4" t="s">
        <v>76</v>
      </c>
      <c r="D28" s="9" t="s">
        <v>77</v>
      </c>
      <c r="E28" s="14" t="s">
        <v>222</v>
      </c>
      <c r="F28" s="4"/>
      <c r="G28" s="4"/>
      <c r="H28" s="4">
        <v>3</v>
      </c>
      <c r="I28" s="4">
        <v>3</v>
      </c>
      <c r="J28" s="4">
        <v>3</v>
      </c>
      <c r="K28" s="4"/>
      <c r="L28" s="4"/>
      <c r="M28" s="4"/>
      <c r="N28" s="4"/>
      <c r="O28" s="4"/>
      <c r="P28" s="4"/>
      <c r="Q28" s="4"/>
      <c r="R28" s="4"/>
      <c r="S28" s="4"/>
      <c r="T28" s="4"/>
      <c r="U28" s="4"/>
      <c r="V28" s="4"/>
      <c r="W28" s="4"/>
      <c r="X28" s="4"/>
      <c r="Y28" s="4"/>
      <c r="Z28" s="4"/>
      <c r="AA28" s="4"/>
      <c r="AB28" s="4"/>
    </row>
    <row r="29" spans="1:28" ht="112" x14ac:dyDescent="0.15">
      <c r="A29" s="8" t="s">
        <v>75</v>
      </c>
      <c r="B29" s="4" t="s">
        <v>59</v>
      </c>
      <c r="C29" s="4" t="s">
        <v>76</v>
      </c>
      <c r="D29" s="9" t="s">
        <v>81</v>
      </c>
      <c r="E29" s="14" t="s">
        <v>82</v>
      </c>
      <c r="F29" s="4" t="s">
        <v>83</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75</v>
      </c>
      <c r="B30" s="4" t="s">
        <v>59</v>
      </c>
      <c r="C30" s="4" t="s">
        <v>76</v>
      </c>
      <c r="D30" s="9" t="s">
        <v>84</v>
      </c>
      <c r="E30" s="14" t="s">
        <v>85</v>
      </c>
      <c r="F30" s="4"/>
      <c r="G30" s="4"/>
      <c r="H30" s="4">
        <v>3</v>
      </c>
      <c r="I30" s="4">
        <v>3</v>
      </c>
      <c r="J30" s="4">
        <v>3</v>
      </c>
      <c r="K30" s="4"/>
      <c r="L30" s="4"/>
      <c r="M30" s="4"/>
      <c r="N30" s="4"/>
      <c r="O30" s="4"/>
      <c r="P30" s="4"/>
      <c r="Q30" s="4"/>
      <c r="R30" s="4"/>
      <c r="S30" s="4"/>
      <c r="T30" s="4"/>
      <c r="U30" s="4"/>
      <c r="V30" s="4"/>
      <c r="W30" s="4"/>
      <c r="X30" s="4"/>
      <c r="Y30" s="4"/>
      <c r="Z30" s="4"/>
      <c r="AA30" s="4"/>
      <c r="AB30" s="4"/>
    </row>
    <row r="31" spans="1:28" ht="112" x14ac:dyDescent="0.15">
      <c r="A31" s="8" t="s">
        <v>86</v>
      </c>
      <c r="B31" s="4" t="s">
        <v>59</v>
      </c>
      <c r="C31" s="4" t="s">
        <v>87</v>
      </c>
      <c r="D31" s="9">
        <v>14</v>
      </c>
      <c r="E31" s="14" t="s">
        <v>88</v>
      </c>
      <c r="F31" s="4"/>
      <c r="G31" s="4"/>
      <c r="H31" s="4">
        <v>3</v>
      </c>
      <c r="I31" s="4">
        <v>2</v>
      </c>
      <c r="J31" s="4">
        <v>3</v>
      </c>
      <c r="K31" s="4" t="s">
        <v>96</v>
      </c>
      <c r="L31" s="4"/>
      <c r="M31" s="4"/>
      <c r="N31" s="4"/>
      <c r="O31" s="4"/>
      <c r="P31" s="4"/>
      <c r="Q31" s="4"/>
      <c r="R31" s="4"/>
      <c r="S31" s="4"/>
      <c r="T31" s="4"/>
      <c r="U31" s="4"/>
      <c r="V31" s="4"/>
      <c r="W31" s="4"/>
      <c r="X31" s="4"/>
      <c r="Y31" s="4"/>
      <c r="Z31" s="4"/>
      <c r="AA31" s="4"/>
      <c r="AB31" s="4"/>
    </row>
    <row r="32" spans="1:28" ht="56" x14ac:dyDescent="0.15">
      <c r="A32" s="8" t="s">
        <v>86</v>
      </c>
      <c r="B32" s="4" t="s">
        <v>59</v>
      </c>
      <c r="C32" s="4" t="s">
        <v>90</v>
      </c>
      <c r="D32" s="9">
        <v>15</v>
      </c>
      <c r="E32" s="14" t="s">
        <v>91</v>
      </c>
      <c r="F32" s="4" t="s">
        <v>92</v>
      </c>
      <c r="G32" s="4"/>
      <c r="H32" s="4">
        <v>3</v>
      </c>
      <c r="I32" s="4">
        <v>3</v>
      </c>
      <c r="J32" s="4">
        <v>3</v>
      </c>
      <c r="K32" s="4" t="s">
        <v>99</v>
      </c>
      <c r="L32" s="4"/>
      <c r="M32" s="4"/>
      <c r="N32" s="4"/>
      <c r="O32" s="4"/>
      <c r="P32" s="4"/>
      <c r="Q32" s="4"/>
      <c r="R32" s="4"/>
      <c r="S32" s="4"/>
      <c r="T32" s="4"/>
      <c r="U32" s="4"/>
      <c r="V32" s="4"/>
      <c r="W32" s="4"/>
      <c r="X32" s="4"/>
      <c r="Y32" s="4"/>
      <c r="Z32" s="4"/>
      <c r="AA32" s="4"/>
      <c r="AB32" s="4"/>
    </row>
    <row r="33" spans="1:28" ht="28" x14ac:dyDescent="0.15">
      <c r="A33" s="8" t="s">
        <v>93</v>
      </c>
      <c r="B33" s="4" t="s">
        <v>94</v>
      </c>
      <c r="C33" s="4" t="s">
        <v>95</v>
      </c>
      <c r="D33" s="9">
        <v>16</v>
      </c>
      <c r="E33" s="14" t="s">
        <v>97</v>
      </c>
      <c r="F33" s="4"/>
      <c r="G33" s="4"/>
      <c r="H33" s="4">
        <v>3</v>
      </c>
      <c r="I33" s="4">
        <v>3</v>
      </c>
      <c r="J33" s="4">
        <v>3</v>
      </c>
      <c r="K33" s="4"/>
      <c r="L33" s="4"/>
      <c r="M33" s="4"/>
      <c r="N33" s="4"/>
      <c r="O33" s="4"/>
      <c r="P33" s="4"/>
      <c r="Q33" s="4"/>
      <c r="R33" s="4"/>
      <c r="S33" s="4"/>
      <c r="T33" s="4"/>
      <c r="U33" s="4"/>
      <c r="V33" s="4"/>
      <c r="W33" s="4"/>
      <c r="X33" s="4"/>
      <c r="Y33" s="4"/>
      <c r="Z33" s="4"/>
      <c r="AA33" s="4"/>
      <c r="AB33" s="4"/>
    </row>
    <row r="34" spans="1:28" ht="28" x14ac:dyDescent="0.15">
      <c r="A34" s="8" t="s">
        <v>93</v>
      </c>
      <c r="B34" s="4" t="s">
        <v>94</v>
      </c>
      <c r="C34" s="4" t="s">
        <v>95</v>
      </c>
      <c r="D34" s="9">
        <v>17</v>
      </c>
      <c r="E34" s="14" t="s">
        <v>98</v>
      </c>
      <c r="F34" s="4"/>
      <c r="G34" s="4"/>
      <c r="H34" s="4">
        <v>3</v>
      </c>
      <c r="I34" s="4">
        <v>3</v>
      </c>
      <c r="J34" s="4">
        <v>3</v>
      </c>
      <c r="K34" s="4"/>
      <c r="L34" s="4"/>
      <c r="M34" s="4"/>
      <c r="N34" s="4"/>
      <c r="O34" s="4"/>
      <c r="P34" s="4"/>
      <c r="Q34" s="4"/>
      <c r="R34" s="4"/>
      <c r="S34" s="4"/>
      <c r="T34" s="4"/>
      <c r="U34" s="4"/>
      <c r="V34" s="4"/>
      <c r="W34" s="4"/>
      <c r="X34" s="4"/>
      <c r="Y34" s="4"/>
      <c r="Z34" s="4"/>
      <c r="AA34" s="4"/>
      <c r="AB34" s="4"/>
    </row>
    <row r="35" spans="1:28" ht="28" x14ac:dyDescent="0.15">
      <c r="A35" s="8" t="s">
        <v>93</v>
      </c>
      <c r="B35" s="4" t="s">
        <v>94</v>
      </c>
      <c r="C35" s="4" t="s">
        <v>95</v>
      </c>
      <c r="D35" s="9">
        <v>18</v>
      </c>
      <c r="E35" s="14" t="s">
        <v>101</v>
      </c>
      <c r="F35" s="4"/>
      <c r="G35" s="4"/>
      <c r="H35" s="4">
        <v>3</v>
      </c>
      <c r="I35" s="4">
        <v>3</v>
      </c>
      <c r="J35" s="4">
        <v>3</v>
      </c>
      <c r="K35" s="4"/>
      <c r="L35" s="4"/>
      <c r="M35" s="4"/>
      <c r="N35" s="4"/>
      <c r="O35" s="4"/>
      <c r="P35" s="4"/>
      <c r="Q35" s="4"/>
      <c r="R35" s="4"/>
      <c r="S35" s="4"/>
      <c r="T35" s="4"/>
      <c r="U35" s="4"/>
      <c r="V35" s="4"/>
      <c r="W35" s="4"/>
      <c r="X35" s="4"/>
      <c r="Y35" s="4"/>
      <c r="Z35" s="4"/>
      <c r="AA35" s="4"/>
      <c r="AB35" s="4"/>
    </row>
    <row r="36" spans="1:28" ht="28" x14ac:dyDescent="0.15">
      <c r="A36" s="8" t="s">
        <v>93</v>
      </c>
      <c r="B36" s="4" t="s">
        <v>94</v>
      </c>
      <c r="C36" s="4" t="s">
        <v>102</v>
      </c>
      <c r="D36" s="9" t="s">
        <v>103</v>
      </c>
      <c r="E36" s="14" t="s">
        <v>104</v>
      </c>
      <c r="F36" s="4"/>
      <c r="G36" s="4"/>
      <c r="H36" s="4">
        <v>3</v>
      </c>
      <c r="I36" s="4">
        <v>3</v>
      </c>
      <c r="J36" s="4">
        <v>3</v>
      </c>
      <c r="K36" s="4"/>
      <c r="L36" s="4"/>
      <c r="M36" s="4"/>
      <c r="N36" s="4"/>
      <c r="O36" s="4"/>
      <c r="P36" s="4"/>
      <c r="Q36" s="4"/>
      <c r="R36" s="4"/>
      <c r="S36" s="4"/>
      <c r="T36" s="4"/>
      <c r="U36" s="4"/>
      <c r="V36" s="4"/>
      <c r="W36" s="4"/>
      <c r="X36" s="4"/>
      <c r="Y36" s="4"/>
      <c r="Z36" s="4"/>
      <c r="AA36" s="4"/>
      <c r="AB36" s="4"/>
    </row>
    <row r="37" spans="1:28" ht="28" x14ac:dyDescent="0.15">
      <c r="A37" s="8" t="s">
        <v>93</v>
      </c>
      <c r="B37" s="4" t="s">
        <v>94</v>
      </c>
      <c r="C37" s="4" t="s">
        <v>102</v>
      </c>
      <c r="D37" s="9" t="s">
        <v>105</v>
      </c>
      <c r="E37" s="14" t="s">
        <v>223</v>
      </c>
      <c r="F37" s="4"/>
      <c r="G37" s="4"/>
      <c r="H37" s="4">
        <v>3</v>
      </c>
      <c r="I37" s="4">
        <v>1</v>
      </c>
      <c r="J37" s="4">
        <v>3</v>
      </c>
      <c r="K37" s="4"/>
      <c r="L37" s="4"/>
      <c r="M37" s="4"/>
      <c r="N37" s="4"/>
      <c r="O37" s="4"/>
      <c r="P37" s="4"/>
      <c r="Q37" s="4"/>
      <c r="R37" s="4"/>
      <c r="S37" s="4"/>
      <c r="T37" s="4"/>
      <c r="U37" s="4"/>
      <c r="V37" s="4"/>
      <c r="W37" s="4"/>
      <c r="X37" s="4"/>
      <c r="Y37" s="4"/>
      <c r="Z37" s="4"/>
      <c r="AA37" s="4"/>
      <c r="AB37" s="4"/>
    </row>
    <row r="38" spans="1:28" ht="140" x14ac:dyDescent="0.15">
      <c r="A38" s="8" t="s">
        <v>93</v>
      </c>
      <c r="B38" s="4" t="s">
        <v>94</v>
      </c>
      <c r="C38" s="4" t="s">
        <v>102</v>
      </c>
      <c r="D38" s="9" t="s">
        <v>108</v>
      </c>
      <c r="E38" s="14" t="s">
        <v>109</v>
      </c>
      <c r="F38" s="4" t="s">
        <v>110</v>
      </c>
      <c r="G38" s="4"/>
      <c r="H38" s="4">
        <v>3</v>
      </c>
      <c r="I38" s="4">
        <v>2</v>
      </c>
      <c r="J38" s="4">
        <v>3</v>
      </c>
      <c r="K38" s="4" t="s">
        <v>115</v>
      </c>
      <c r="L38" s="4"/>
      <c r="M38" s="4"/>
      <c r="N38" s="4"/>
      <c r="O38" s="4"/>
      <c r="P38" s="4"/>
      <c r="Q38" s="4"/>
      <c r="R38" s="4"/>
      <c r="S38" s="4"/>
      <c r="T38" s="4"/>
      <c r="U38" s="4"/>
      <c r="V38" s="4"/>
      <c r="W38" s="4"/>
      <c r="X38" s="4"/>
      <c r="Y38" s="4"/>
      <c r="Z38" s="4"/>
      <c r="AA38" s="4"/>
      <c r="AB38" s="4"/>
    </row>
    <row r="39" spans="1:28" ht="56" x14ac:dyDescent="0.15">
      <c r="A39" s="8" t="s">
        <v>93</v>
      </c>
      <c r="B39" s="4" t="s">
        <v>94</v>
      </c>
      <c r="C39" s="4" t="s">
        <v>102</v>
      </c>
      <c r="D39" s="9" t="s">
        <v>111</v>
      </c>
      <c r="E39" s="14" t="s">
        <v>112</v>
      </c>
      <c r="F39" s="4" t="s">
        <v>113</v>
      </c>
      <c r="G39" s="4"/>
      <c r="H39" s="4">
        <v>3</v>
      </c>
      <c r="I39" s="4">
        <v>2</v>
      </c>
      <c r="J39" s="4">
        <v>3</v>
      </c>
      <c r="K39" s="4"/>
      <c r="L39" s="4"/>
      <c r="M39" s="4"/>
      <c r="N39" s="4"/>
      <c r="O39" s="4"/>
      <c r="P39" s="4"/>
      <c r="Q39" s="4"/>
      <c r="R39" s="4"/>
      <c r="S39" s="4"/>
      <c r="T39" s="4"/>
      <c r="U39" s="4"/>
      <c r="V39" s="4"/>
      <c r="W39" s="4"/>
      <c r="X39" s="4"/>
      <c r="Y39" s="4"/>
      <c r="Z39" s="4"/>
      <c r="AA39" s="4"/>
      <c r="AB39" s="4"/>
    </row>
    <row r="40" spans="1:28" ht="112" x14ac:dyDescent="0.15">
      <c r="A40" s="8" t="s">
        <v>116</v>
      </c>
      <c r="B40" s="4" t="s">
        <v>94</v>
      </c>
      <c r="C40" s="4" t="s">
        <v>117</v>
      </c>
      <c r="D40" s="9">
        <v>20</v>
      </c>
      <c r="E40" s="14" t="s">
        <v>118</v>
      </c>
      <c r="F40" s="4" t="s">
        <v>119</v>
      </c>
      <c r="G40" s="4"/>
      <c r="H40" s="4">
        <v>3</v>
      </c>
      <c r="I40" s="4">
        <v>3</v>
      </c>
      <c r="J40" s="4">
        <v>3</v>
      </c>
      <c r="K40" s="4" t="s">
        <v>126</v>
      </c>
      <c r="L40" s="4"/>
      <c r="M40" s="4"/>
      <c r="N40" s="4"/>
      <c r="O40" s="4"/>
      <c r="P40" s="4"/>
      <c r="Q40" s="4"/>
      <c r="R40" s="4"/>
      <c r="S40" s="4"/>
      <c r="T40" s="4"/>
      <c r="U40" s="4"/>
      <c r="V40" s="4"/>
      <c r="W40" s="4"/>
      <c r="X40" s="4"/>
      <c r="Y40" s="4"/>
      <c r="Z40" s="4"/>
      <c r="AA40" s="4"/>
      <c r="AB40" s="4"/>
    </row>
    <row r="41" spans="1:28" ht="28" x14ac:dyDescent="0.15">
      <c r="A41" s="8" t="s">
        <v>116</v>
      </c>
      <c r="B41" s="4" t="s">
        <v>121</v>
      </c>
      <c r="C41" s="4" t="s">
        <v>122</v>
      </c>
      <c r="D41" s="9">
        <v>21</v>
      </c>
      <c r="E41" s="14" t="s">
        <v>123</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116</v>
      </c>
      <c r="B42" s="4" t="s">
        <v>121</v>
      </c>
      <c r="C42" s="4"/>
      <c r="D42" s="9">
        <v>22</v>
      </c>
      <c r="E42" s="14" t="s">
        <v>124</v>
      </c>
      <c r="F42" s="4" t="s">
        <v>125</v>
      </c>
      <c r="G42" s="4"/>
      <c r="H42" s="4">
        <v>3</v>
      </c>
      <c r="I42" s="4">
        <v>3</v>
      </c>
      <c r="J42" s="4">
        <v>3</v>
      </c>
      <c r="K42" s="4"/>
      <c r="L42" s="4"/>
      <c r="M42" s="4"/>
      <c r="N42" s="4"/>
      <c r="O42" s="4"/>
      <c r="P42" s="4"/>
      <c r="Q42" s="4"/>
      <c r="R42" s="4"/>
      <c r="S42" s="4"/>
      <c r="T42" s="4"/>
      <c r="U42" s="4"/>
      <c r="V42" s="4"/>
      <c r="W42" s="4"/>
      <c r="X42" s="4"/>
      <c r="Y42" s="4"/>
      <c r="Z42" s="4"/>
      <c r="AA42" s="4"/>
      <c r="AB42" s="4"/>
    </row>
    <row r="43" spans="1:28" ht="397" x14ac:dyDescent="0.15">
      <c r="A43" s="8" t="s">
        <v>116</v>
      </c>
      <c r="B43" s="4" t="s">
        <v>121</v>
      </c>
      <c r="C43" s="4" t="s">
        <v>127</v>
      </c>
      <c r="D43" s="9">
        <v>23</v>
      </c>
      <c r="E43" s="14" t="s">
        <v>128</v>
      </c>
      <c r="F43" s="4"/>
      <c r="G43" s="4"/>
      <c r="H43" s="4">
        <v>2</v>
      </c>
      <c r="I43" s="4">
        <v>2</v>
      </c>
      <c r="J43" s="4">
        <v>2</v>
      </c>
      <c r="K43" s="4" t="s">
        <v>134</v>
      </c>
      <c r="L43" s="4"/>
      <c r="M43" s="4"/>
      <c r="N43" s="4"/>
      <c r="O43" s="4"/>
      <c r="P43" s="4"/>
      <c r="Q43" s="4"/>
      <c r="R43" s="4"/>
      <c r="S43" s="4"/>
      <c r="T43" s="4"/>
      <c r="U43" s="4"/>
      <c r="V43" s="4"/>
      <c r="W43" s="4"/>
      <c r="X43" s="4"/>
      <c r="Y43" s="4"/>
      <c r="Z43" s="4"/>
      <c r="AA43" s="4"/>
      <c r="AB43" s="4"/>
    </row>
    <row r="44" spans="1:28" ht="28" x14ac:dyDescent="0.15">
      <c r="A44" s="8" t="s">
        <v>116</v>
      </c>
      <c r="B44" s="4" t="s">
        <v>121</v>
      </c>
      <c r="C44" s="4" t="s">
        <v>130</v>
      </c>
      <c r="D44" s="9" t="s">
        <v>131</v>
      </c>
      <c r="E44" s="14" t="s">
        <v>132</v>
      </c>
      <c r="F44" s="4"/>
      <c r="G44" s="4"/>
      <c r="H44" s="4">
        <v>3</v>
      </c>
      <c r="I44" s="4">
        <v>2</v>
      </c>
      <c r="J44" s="4">
        <v>3</v>
      </c>
      <c r="K44" s="4"/>
      <c r="L44" s="4"/>
      <c r="M44" s="4"/>
      <c r="N44" s="4"/>
      <c r="O44" s="4"/>
      <c r="P44" s="4"/>
      <c r="Q44" s="4"/>
      <c r="R44" s="4"/>
      <c r="S44" s="4"/>
      <c r="T44" s="4"/>
      <c r="U44" s="4"/>
      <c r="V44" s="4"/>
      <c r="W44" s="4"/>
      <c r="X44" s="4"/>
      <c r="Y44" s="4"/>
      <c r="Z44" s="4"/>
      <c r="AA44" s="4"/>
      <c r="AB44" s="4"/>
    </row>
    <row r="45" spans="1:28" ht="28" x14ac:dyDescent="0.15">
      <c r="A45" s="8" t="s">
        <v>116</v>
      </c>
      <c r="B45" s="4" t="s">
        <v>121</v>
      </c>
      <c r="C45" s="4" t="s">
        <v>130</v>
      </c>
      <c r="D45" s="9" t="s">
        <v>135</v>
      </c>
      <c r="E45" s="14" t="s">
        <v>136</v>
      </c>
      <c r="F45" s="4"/>
      <c r="G45" s="4"/>
      <c r="H45" s="4">
        <v>2</v>
      </c>
      <c r="I45" s="4">
        <v>2</v>
      </c>
      <c r="J45" s="4">
        <v>2</v>
      </c>
      <c r="K45" s="4"/>
      <c r="L45" s="4"/>
      <c r="M45" s="4"/>
      <c r="N45" s="4"/>
      <c r="O45" s="4"/>
      <c r="P45" s="4"/>
      <c r="Q45" s="4"/>
      <c r="R45" s="4"/>
      <c r="S45" s="4"/>
      <c r="T45" s="4"/>
      <c r="U45" s="4"/>
      <c r="V45" s="4"/>
      <c r="W45" s="4"/>
      <c r="X45" s="4"/>
      <c r="Y45" s="4"/>
      <c r="Z45" s="4"/>
      <c r="AA45" s="4"/>
      <c r="AB45" s="4"/>
    </row>
    <row r="46" spans="1:28" ht="28" x14ac:dyDescent="0.15">
      <c r="A46" s="8" t="s">
        <v>116</v>
      </c>
      <c r="B46" s="4" t="s">
        <v>121</v>
      </c>
      <c r="C46" s="4" t="s">
        <v>130</v>
      </c>
      <c r="D46" s="9" t="s">
        <v>138</v>
      </c>
      <c r="E46" s="14" t="s">
        <v>139</v>
      </c>
      <c r="F46" s="4"/>
      <c r="G46" s="4"/>
      <c r="H46" s="4">
        <v>3</v>
      </c>
      <c r="I46" s="4">
        <v>3</v>
      </c>
      <c r="J46" s="4">
        <v>3</v>
      </c>
      <c r="K46" s="4"/>
      <c r="L46" s="4"/>
      <c r="M46" s="4"/>
      <c r="N46" s="4"/>
      <c r="O46" s="4"/>
      <c r="P46" s="4"/>
      <c r="Q46" s="4"/>
      <c r="R46" s="4"/>
      <c r="S46" s="4"/>
      <c r="T46" s="4"/>
      <c r="U46" s="4"/>
      <c r="V46" s="4"/>
      <c r="W46" s="4"/>
      <c r="X46" s="4"/>
      <c r="Y46" s="4"/>
      <c r="Z46" s="4"/>
      <c r="AA46" s="4"/>
      <c r="AB46" s="4"/>
    </row>
    <row r="47" spans="1:28" ht="56" x14ac:dyDescent="0.15">
      <c r="A47" s="8" t="s">
        <v>116</v>
      </c>
      <c r="B47" s="4" t="s">
        <v>121</v>
      </c>
      <c r="C47" s="4" t="s">
        <v>140</v>
      </c>
      <c r="D47" s="9" t="s">
        <v>141</v>
      </c>
      <c r="E47" s="14" t="s">
        <v>142</v>
      </c>
      <c r="F47" s="4" t="s">
        <v>143</v>
      </c>
      <c r="G47" s="4"/>
      <c r="H47" s="4">
        <v>3</v>
      </c>
      <c r="I47" s="4">
        <v>3</v>
      </c>
      <c r="J47" s="4">
        <v>3</v>
      </c>
      <c r="K47" s="4"/>
      <c r="L47" s="4"/>
      <c r="M47" s="4"/>
      <c r="N47" s="4"/>
      <c r="O47" s="4"/>
      <c r="P47" s="4"/>
      <c r="Q47" s="4"/>
      <c r="R47" s="4"/>
      <c r="S47" s="4"/>
      <c r="T47" s="4"/>
      <c r="U47" s="4"/>
      <c r="V47" s="4"/>
      <c r="W47" s="4"/>
      <c r="X47" s="4"/>
      <c r="Y47" s="4"/>
      <c r="Z47" s="4"/>
      <c r="AA47" s="4"/>
      <c r="AB47" s="4"/>
    </row>
    <row r="48" spans="1:28" ht="84" x14ac:dyDescent="0.15">
      <c r="A48" s="8" t="s">
        <v>116</v>
      </c>
      <c r="B48" s="4" t="s">
        <v>121</v>
      </c>
      <c r="C48" s="4" t="s">
        <v>140</v>
      </c>
      <c r="D48" s="9" t="s">
        <v>145</v>
      </c>
      <c r="E48" s="14" t="s">
        <v>146</v>
      </c>
      <c r="F48" s="4" t="s">
        <v>147</v>
      </c>
      <c r="G48" s="4"/>
      <c r="H48" s="4">
        <v>3</v>
      </c>
      <c r="I48" s="4">
        <v>3</v>
      </c>
      <c r="J48" s="4"/>
      <c r="K48" s="4" t="s">
        <v>148</v>
      </c>
      <c r="L48" s="4"/>
      <c r="M48" s="4"/>
      <c r="N48" s="4"/>
      <c r="O48" s="4"/>
      <c r="P48" s="4"/>
      <c r="Q48" s="4"/>
      <c r="R48" s="4"/>
      <c r="S48" s="4"/>
      <c r="T48" s="4"/>
      <c r="U48" s="4"/>
      <c r="V48" s="4"/>
      <c r="W48" s="4"/>
      <c r="X48" s="4"/>
      <c r="Y48" s="4"/>
      <c r="Z48" s="4"/>
      <c r="AA48" s="4"/>
      <c r="AB48" s="4"/>
    </row>
    <row r="49" spans="1:28" ht="28" hidden="1" x14ac:dyDescent="0.15">
      <c r="A49" s="8" t="s">
        <v>25</v>
      </c>
      <c r="B49" s="4" t="s">
        <v>150</v>
      </c>
      <c r="C49" s="4" t="s">
        <v>151</v>
      </c>
      <c r="D49" s="9"/>
      <c r="E49" s="4" t="s">
        <v>152</v>
      </c>
      <c r="F49" s="4"/>
      <c r="G49" s="4"/>
      <c r="H49" s="4"/>
      <c r="I49" s="4"/>
      <c r="J49" s="4"/>
      <c r="K49" s="4"/>
      <c r="L49" s="4"/>
      <c r="M49" s="4"/>
      <c r="N49" s="4"/>
      <c r="O49" s="4"/>
      <c r="P49" s="4"/>
      <c r="Q49" s="4"/>
      <c r="R49" s="4"/>
      <c r="S49" s="4"/>
      <c r="T49" s="4"/>
      <c r="U49" s="4"/>
      <c r="V49" s="4"/>
      <c r="W49" s="4"/>
      <c r="X49" s="4"/>
      <c r="Y49" s="4"/>
      <c r="Z49" s="4"/>
      <c r="AA49" s="4"/>
      <c r="AB49" s="4"/>
    </row>
    <row r="50" spans="1:28" ht="140" x14ac:dyDescent="0.15">
      <c r="A50" s="8" t="s">
        <v>153</v>
      </c>
      <c r="B50" s="4" t="s">
        <v>150</v>
      </c>
      <c r="C50" s="4" t="s">
        <v>151</v>
      </c>
      <c r="D50" s="9" t="s">
        <v>154</v>
      </c>
      <c r="E50" s="14" t="s">
        <v>155</v>
      </c>
      <c r="F50" s="4" t="s">
        <v>156</v>
      </c>
      <c r="G50" s="4"/>
      <c r="H50" s="4">
        <v>3</v>
      </c>
      <c r="I50" s="4">
        <v>3</v>
      </c>
      <c r="J50" s="4">
        <v>3</v>
      </c>
      <c r="K50" s="4" t="s">
        <v>157</v>
      </c>
      <c r="L50" s="4"/>
      <c r="M50" s="4"/>
      <c r="N50" s="4"/>
      <c r="O50" s="4"/>
      <c r="P50" s="4"/>
      <c r="Q50" s="4"/>
      <c r="R50" s="4"/>
      <c r="S50" s="4"/>
      <c r="T50" s="4"/>
      <c r="U50" s="4"/>
      <c r="V50" s="4"/>
      <c r="W50" s="4"/>
      <c r="X50" s="4"/>
      <c r="Y50" s="4"/>
      <c r="Z50" s="4"/>
      <c r="AA50" s="4"/>
      <c r="AB50" s="4"/>
    </row>
    <row r="51" spans="1:28" ht="112" x14ac:dyDescent="0.15">
      <c r="A51" s="8" t="s">
        <v>153</v>
      </c>
      <c r="B51" s="4" t="s">
        <v>150</v>
      </c>
      <c r="C51" s="4" t="s">
        <v>151</v>
      </c>
      <c r="D51" s="9" t="s">
        <v>158</v>
      </c>
      <c r="E51" s="14" t="s">
        <v>159</v>
      </c>
      <c r="F51" s="4"/>
      <c r="G51" s="4"/>
      <c r="H51" s="4">
        <v>3</v>
      </c>
      <c r="I51" s="4">
        <v>3</v>
      </c>
      <c r="J51" s="4">
        <v>3</v>
      </c>
      <c r="K51" s="4" t="s">
        <v>161</v>
      </c>
      <c r="L51" s="4"/>
      <c r="M51" s="4"/>
      <c r="N51" s="4"/>
      <c r="O51" s="4"/>
      <c r="P51" s="4"/>
      <c r="Q51" s="4"/>
      <c r="R51" s="4"/>
      <c r="S51" s="4"/>
      <c r="T51" s="4"/>
      <c r="U51" s="4"/>
      <c r="V51" s="4"/>
      <c r="W51" s="4"/>
      <c r="X51" s="4"/>
      <c r="Y51" s="4"/>
      <c r="Z51" s="4"/>
      <c r="AA51" s="4"/>
      <c r="AB51" s="4"/>
    </row>
    <row r="52" spans="1:28" ht="98" x14ac:dyDescent="0.15">
      <c r="A52" s="8" t="s">
        <v>153</v>
      </c>
      <c r="B52" s="4" t="s">
        <v>150</v>
      </c>
      <c r="C52" s="4" t="s">
        <v>151</v>
      </c>
      <c r="D52" s="9" t="s">
        <v>162</v>
      </c>
      <c r="E52" s="14" t="s">
        <v>163</v>
      </c>
      <c r="F52" s="4"/>
      <c r="G52" s="4"/>
      <c r="H52" s="4">
        <v>3</v>
      </c>
      <c r="I52" s="4">
        <v>3</v>
      </c>
      <c r="J52" s="4">
        <v>3</v>
      </c>
      <c r="K52" s="4" t="s">
        <v>164</v>
      </c>
      <c r="L52" s="4"/>
      <c r="M52" s="4"/>
      <c r="N52" s="4"/>
      <c r="O52" s="4"/>
      <c r="P52" s="4"/>
      <c r="Q52" s="4"/>
      <c r="R52" s="4"/>
      <c r="S52" s="4"/>
      <c r="T52" s="4"/>
      <c r="U52" s="4"/>
      <c r="V52" s="4"/>
      <c r="W52" s="4"/>
      <c r="X52" s="4"/>
      <c r="Y52" s="4"/>
      <c r="Z52" s="4"/>
      <c r="AA52" s="4"/>
      <c r="AB52" s="4"/>
    </row>
    <row r="53" spans="1:28" ht="28" x14ac:dyDescent="0.15">
      <c r="A53" s="8" t="s">
        <v>165</v>
      </c>
      <c r="B53" s="4" t="s">
        <v>150</v>
      </c>
      <c r="C53" s="4" t="s">
        <v>166</v>
      </c>
      <c r="D53" s="9" t="s">
        <v>167</v>
      </c>
      <c r="E53" s="14" t="s">
        <v>168</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8" t="s">
        <v>165</v>
      </c>
      <c r="B54" s="4"/>
      <c r="C54" s="4"/>
      <c r="D54" s="9" t="s">
        <v>167</v>
      </c>
      <c r="E54" s="14" t="s">
        <v>169</v>
      </c>
      <c r="F54" s="4" t="s">
        <v>170</v>
      </c>
      <c r="G54" s="4"/>
      <c r="H54" s="4">
        <v>3</v>
      </c>
      <c r="I54" s="4">
        <v>3</v>
      </c>
      <c r="J54" s="4">
        <v>3</v>
      </c>
      <c r="K54" s="4"/>
      <c r="L54" s="4"/>
      <c r="M54" s="4"/>
      <c r="N54" s="4"/>
      <c r="O54" s="4"/>
      <c r="P54" s="4"/>
      <c r="Q54" s="4"/>
      <c r="R54" s="4"/>
      <c r="S54" s="4"/>
      <c r="T54" s="4"/>
      <c r="U54" s="4"/>
      <c r="V54" s="4"/>
      <c r="W54" s="4"/>
      <c r="X54" s="4"/>
      <c r="Y54" s="4"/>
      <c r="Z54" s="4"/>
      <c r="AA54" s="4"/>
      <c r="AB54" s="4"/>
    </row>
    <row r="55" spans="1:28" ht="98" x14ac:dyDescent="0.15">
      <c r="A55" s="8" t="s">
        <v>165</v>
      </c>
      <c r="B55" s="4"/>
      <c r="C55" s="4"/>
      <c r="D55" s="9" t="s">
        <v>167</v>
      </c>
      <c r="E55" s="14" t="s">
        <v>171</v>
      </c>
      <c r="F55" s="4" t="s">
        <v>172</v>
      </c>
      <c r="G55" s="4"/>
      <c r="H55" s="4">
        <v>3</v>
      </c>
      <c r="I55" s="4">
        <v>3</v>
      </c>
      <c r="J55" s="4">
        <v>2</v>
      </c>
      <c r="K55" s="4" t="s">
        <v>173</v>
      </c>
      <c r="L55" s="4"/>
      <c r="M55" s="4"/>
      <c r="N55" s="4"/>
      <c r="O55" s="4"/>
      <c r="P55" s="4"/>
      <c r="Q55" s="4"/>
      <c r="R55" s="4"/>
      <c r="S55" s="4"/>
      <c r="T55" s="4"/>
      <c r="U55" s="4"/>
      <c r="V55" s="4"/>
      <c r="W55" s="4"/>
      <c r="X55" s="4"/>
      <c r="Y55" s="4"/>
      <c r="Z55" s="4"/>
      <c r="AA55" s="4"/>
      <c r="AB55" s="4"/>
    </row>
    <row r="56" spans="1:28" ht="56" x14ac:dyDescent="0.15">
      <c r="A56" s="8" t="s">
        <v>165</v>
      </c>
      <c r="B56" s="4" t="s">
        <v>150</v>
      </c>
      <c r="C56" s="4" t="s">
        <v>166</v>
      </c>
      <c r="D56" s="9" t="s">
        <v>167</v>
      </c>
      <c r="E56" s="14" t="s">
        <v>174</v>
      </c>
      <c r="F56" s="4" t="s">
        <v>175</v>
      </c>
      <c r="G56" s="4"/>
      <c r="H56" s="4">
        <v>3</v>
      </c>
      <c r="I56" s="4">
        <v>3</v>
      </c>
      <c r="J56" s="4">
        <v>2</v>
      </c>
      <c r="K56" s="4" t="s">
        <v>176</v>
      </c>
      <c r="L56" s="4"/>
      <c r="M56" s="4"/>
      <c r="N56" s="4"/>
      <c r="O56" s="4"/>
      <c r="P56" s="4"/>
      <c r="Q56" s="4"/>
      <c r="R56" s="4"/>
      <c r="S56" s="4"/>
      <c r="T56" s="4"/>
      <c r="U56" s="4"/>
      <c r="V56" s="4"/>
      <c r="W56" s="4"/>
      <c r="X56" s="4"/>
      <c r="Y56" s="4"/>
      <c r="Z56" s="4"/>
      <c r="AA56" s="4"/>
      <c r="AB56" s="4"/>
    </row>
    <row r="57" spans="1:28" ht="70" x14ac:dyDescent="0.15">
      <c r="A57" s="8" t="s">
        <v>165</v>
      </c>
      <c r="B57" s="4"/>
      <c r="C57" s="4"/>
      <c r="D57" s="9" t="s">
        <v>167</v>
      </c>
      <c r="E57" s="14" t="s">
        <v>177</v>
      </c>
      <c r="F57" s="4" t="s">
        <v>178</v>
      </c>
      <c r="G57" s="4"/>
      <c r="H57" s="4">
        <v>3</v>
      </c>
      <c r="I57" s="4">
        <v>3</v>
      </c>
      <c r="J57" s="4">
        <v>3</v>
      </c>
      <c r="K57" s="4"/>
      <c r="L57" s="4"/>
      <c r="M57" s="4"/>
      <c r="N57" s="4"/>
      <c r="O57" s="4"/>
      <c r="P57" s="4"/>
      <c r="Q57" s="4"/>
      <c r="R57" s="4"/>
      <c r="S57" s="4"/>
      <c r="T57" s="4"/>
      <c r="U57" s="4"/>
      <c r="V57" s="4"/>
      <c r="W57" s="4"/>
      <c r="X57" s="4"/>
      <c r="Y57" s="4"/>
      <c r="Z57" s="4"/>
      <c r="AA57" s="4"/>
      <c r="AB57" s="4"/>
    </row>
    <row r="58" spans="1:28" ht="196" x14ac:dyDescent="0.15">
      <c r="A58" s="8" t="s">
        <v>165</v>
      </c>
      <c r="B58" s="4"/>
      <c r="C58" s="4"/>
      <c r="D58" s="9" t="s">
        <v>167</v>
      </c>
      <c r="E58" s="14" t="s">
        <v>179</v>
      </c>
      <c r="F58" s="4"/>
      <c r="G58" s="4"/>
      <c r="H58" s="4">
        <v>1</v>
      </c>
      <c r="I58" s="4">
        <v>3</v>
      </c>
      <c r="J58" s="4">
        <v>3</v>
      </c>
      <c r="K58" s="4" t="s">
        <v>180</v>
      </c>
      <c r="L58" s="4"/>
      <c r="M58" s="4"/>
      <c r="N58" s="4"/>
      <c r="O58" s="4"/>
      <c r="P58" s="4"/>
      <c r="Q58" s="4"/>
      <c r="R58" s="4"/>
      <c r="S58" s="4"/>
      <c r="T58" s="4"/>
      <c r="U58" s="4"/>
      <c r="V58" s="4"/>
      <c r="W58" s="4"/>
      <c r="X58" s="4"/>
      <c r="Y58" s="4"/>
      <c r="Z58" s="4"/>
      <c r="AA58" s="4"/>
      <c r="AB58" s="4"/>
    </row>
    <row r="59" spans="1:28" ht="14" x14ac:dyDescent="0.15">
      <c r="A59" s="8" t="s">
        <v>165</v>
      </c>
      <c r="B59" s="4"/>
      <c r="C59" s="4"/>
      <c r="D59" s="9" t="s">
        <v>167</v>
      </c>
      <c r="E59" s="14" t="s">
        <v>182</v>
      </c>
      <c r="F59" s="4"/>
      <c r="G59" s="4"/>
      <c r="H59" s="4">
        <v>3</v>
      </c>
      <c r="I59" s="4">
        <v>3</v>
      </c>
      <c r="J59" s="4">
        <v>3</v>
      </c>
      <c r="K59" s="4"/>
      <c r="L59" s="4"/>
      <c r="M59" s="4"/>
      <c r="N59" s="4"/>
      <c r="O59" s="4"/>
      <c r="P59" s="4"/>
      <c r="Q59" s="4"/>
      <c r="R59" s="4"/>
      <c r="S59" s="4"/>
      <c r="T59" s="4"/>
      <c r="U59" s="4"/>
      <c r="V59" s="4"/>
      <c r="W59" s="4"/>
      <c r="X59" s="4"/>
      <c r="Y59" s="4"/>
      <c r="Z59" s="4"/>
      <c r="AA59" s="4"/>
      <c r="AB59" s="4"/>
    </row>
    <row r="60" spans="1:28" ht="14" x14ac:dyDescent="0.15">
      <c r="A60" s="8" t="s">
        <v>165</v>
      </c>
      <c r="B60" s="4"/>
      <c r="C60" s="4"/>
      <c r="D60" s="9" t="s">
        <v>167</v>
      </c>
      <c r="E60" s="14" t="s">
        <v>183</v>
      </c>
      <c r="F60" s="4"/>
      <c r="G60" s="4"/>
      <c r="H60" s="4">
        <v>3</v>
      </c>
      <c r="I60" s="4">
        <v>3</v>
      </c>
      <c r="J60" s="4">
        <v>3</v>
      </c>
      <c r="K60" s="4"/>
      <c r="L60" s="4"/>
      <c r="M60" s="4"/>
      <c r="N60" s="4"/>
      <c r="O60" s="4"/>
      <c r="P60" s="4"/>
      <c r="Q60" s="4"/>
      <c r="R60" s="4"/>
      <c r="S60" s="4"/>
      <c r="T60" s="4"/>
      <c r="U60" s="4"/>
      <c r="V60" s="4"/>
      <c r="W60" s="4"/>
      <c r="X60" s="4"/>
      <c r="Y60" s="4"/>
      <c r="Z60" s="4"/>
      <c r="AA60" s="4"/>
      <c r="AB60" s="4"/>
    </row>
    <row r="61" spans="1:28" ht="28" x14ac:dyDescent="0.15">
      <c r="A61" s="8" t="s">
        <v>184</v>
      </c>
      <c r="B61" s="4" t="s">
        <v>150</v>
      </c>
      <c r="C61" s="4" t="s">
        <v>166</v>
      </c>
      <c r="D61" s="9" t="s">
        <v>185</v>
      </c>
      <c r="E61" s="14" t="s">
        <v>186</v>
      </c>
      <c r="F61" s="4"/>
      <c r="G61" s="4"/>
      <c r="H61" s="4">
        <v>3</v>
      </c>
      <c r="I61" s="4">
        <v>3</v>
      </c>
      <c r="J61" s="4">
        <v>3</v>
      </c>
      <c r="K61" s="4"/>
      <c r="L61" s="4"/>
      <c r="M61" s="4"/>
      <c r="N61" s="4"/>
      <c r="O61" s="4"/>
      <c r="P61" s="4"/>
      <c r="Q61" s="4"/>
      <c r="R61" s="4"/>
      <c r="S61" s="4"/>
      <c r="T61" s="4"/>
      <c r="U61" s="4"/>
      <c r="V61" s="4"/>
      <c r="W61" s="4"/>
      <c r="X61" s="4"/>
      <c r="Y61" s="4"/>
      <c r="Z61" s="4"/>
      <c r="AA61" s="4"/>
      <c r="AB61" s="4"/>
    </row>
    <row r="62" spans="1:28" ht="42" x14ac:dyDescent="0.15">
      <c r="A62" s="8" t="s">
        <v>184</v>
      </c>
      <c r="B62" s="4" t="s">
        <v>150</v>
      </c>
      <c r="C62" s="4" t="s">
        <v>166</v>
      </c>
      <c r="D62" s="9" t="s">
        <v>187</v>
      </c>
      <c r="E62" s="14" t="s">
        <v>188</v>
      </c>
      <c r="F62" s="4"/>
      <c r="G62" s="4"/>
      <c r="H62" s="4">
        <v>3</v>
      </c>
      <c r="I62" s="4">
        <v>3</v>
      </c>
      <c r="J62" s="4">
        <v>3</v>
      </c>
      <c r="K62" s="4"/>
      <c r="L62" s="4"/>
      <c r="M62" s="4"/>
      <c r="N62" s="4"/>
      <c r="O62" s="4"/>
      <c r="P62" s="4"/>
      <c r="Q62" s="4"/>
      <c r="R62" s="4"/>
      <c r="S62" s="4"/>
      <c r="T62" s="4"/>
      <c r="U62" s="4"/>
      <c r="V62" s="4"/>
      <c r="W62" s="4"/>
      <c r="X62" s="4"/>
      <c r="Y62" s="4"/>
      <c r="Z62" s="4"/>
      <c r="AA62" s="4"/>
      <c r="AB62" s="4"/>
    </row>
    <row r="63" spans="1:28" ht="84" x14ac:dyDescent="0.15">
      <c r="A63" s="8" t="s">
        <v>184</v>
      </c>
      <c r="B63" s="4" t="s">
        <v>150</v>
      </c>
      <c r="C63" s="4" t="s">
        <v>166</v>
      </c>
      <c r="D63" s="9" t="s">
        <v>189</v>
      </c>
      <c r="E63" s="14" t="s">
        <v>190</v>
      </c>
      <c r="F63" s="4"/>
      <c r="G63" s="4"/>
      <c r="H63" s="4">
        <v>2</v>
      </c>
      <c r="I63" s="4">
        <v>3</v>
      </c>
      <c r="J63" s="4">
        <v>3</v>
      </c>
      <c r="K63" s="4" t="s">
        <v>192</v>
      </c>
      <c r="L63" s="4"/>
      <c r="M63" s="4"/>
      <c r="N63" s="4"/>
      <c r="O63" s="4"/>
      <c r="P63" s="4"/>
      <c r="Q63" s="4"/>
      <c r="R63" s="4"/>
      <c r="S63" s="4"/>
      <c r="T63" s="4"/>
      <c r="U63" s="4"/>
      <c r="V63" s="4"/>
      <c r="W63" s="4"/>
      <c r="X63" s="4"/>
      <c r="Y63" s="4"/>
      <c r="Z63" s="4"/>
      <c r="AA63" s="4"/>
      <c r="AB63" s="4"/>
    </row>
    <row r="64" spans="1:28" ht="168" x14ac:dyDescent="0.15">
      <c r="A64" s="8" t="s">
        <v>193</v>
      </c>
      <c r="B64" s="4" t="s">
        <v>150</v>
      </c>
      <c r="C64" s="4" t="s">
        <v>166</v>
      </c>
      <c r="D64" s="9" t="s">
        <v>194</v>
      </c>
      <c r="E64" s="14" t="s">
        <v>195</v>
      </c>
      <c r="F64" s="4"/>
      <c r="G64" s="4"/>
      <c r="H64" s="4">
        <v>3</v>
      </c>
      <c r="I64" s="4">
        <v>3</v>
      </c>
      <c r="J64" s="4">
        <v>3</v>
      </c>
      <c r="K64" s="4" t="s">
        <v>196</v>
      </c>
      <c r="L64" s="4"/>
      <c r="M64" s="4"/>
      <c r="N64" s="4"/>
      <c r="O64" s="4"/>
      <c r="P64" s="4"/>
      <c r="Q64" s="4"/>
      <c r="R64" s="4"/>
      <c r="S64" s="4"/>
      <c r="T64" s="4"/>
      <c r="U64" s="4"/>
      <c r="V64" s="4"/>
      <c r="W64" s="4"/>
      <c r="X64" s="4"/>
      <c r="Y64" s="4"/>
      <c r="Z64" s="4"/>
      <c r="AA64" s="4"/>
      <c r="AB64" s="4"/>
    </row>
    <row r="65" spans="1:28" ht="168" x14ac:dyDescent="0.15">
      <c r="A65" s="8" t="s">
        <v>197</v>
      </c>
      <c r="B65" s="4" t="s">
        <v>150</v>
      </c>
      <c r="C65" s="4" t="s">
        <v>198</v>
      </c>
      <c r="D65" s="9">
        <v>28</v>
      </c>
      <c r="E65" s="14" t="s">
        <v>200</v>
      </c>
      <c r="F65" s="4"/>
      <c r="G65" s="4"/>
      <c r="H65" s="4">
        <v>2</v>
      </c>
      <c r="I65" s="4">
        <v>2</v>
      </c>
      <c r="J65" s="4">
        <v>2</v>
      </c>
      <c r="K65" s="4" t="s">
        <v>201</v>
      </c>
      <c r="L65" s="4"/>
      <c r="M65" s="4"/>
      <c r="N65" s="4"/>
      <c r="O65" s="4"/>
      <c r="P65" s="4"/>
      <c r="Q65" s="4"/>
      <c r="R65" s="4"/>
      <c r="S65" s="4"/>
      <c r="T65" s="4"/>
      <c r="U65" s="4"/>
      <c r="V65" s="4"/>
      <c r="W65" s="4"/>
      <c r="X65" s="4"/>
      <c r="Y65" s="4"/>
      <c r="Z65" s="4"/>
      <c r="AA65" s="4"/>
      <c r="AB65" s="4"/>
    </row>
    <row r="66" spans="1:28" ht="42" x14ac:dyDescent="0.15">
      <c r="A66" s="8" t="s">
        <v>202</v>
      </c>
      <c r="B66" s="4" t="s">
        <v>150</v>
      </c>
      <c r="C66" s="4" t="s">
        <v>203</v>
      </c>
      <c r="D66" s="9">
        <v>29</v>
      </c>
      <c r="E66" s="14" t="s">
        <v>205</v>
      </c>
      <c r="F66" s="4" t="s">
        <v>206</v>
      </c>
      <c r="G66" s="4"/>
      <c r="H66" s="4">
        <v>2</v>
      </c>
      <c r="I66" s="4">
        <v>2</v>
      </c>
      <c r="J66" s="4">
        <v>3</v>
      </c>
      <c r="K66" s="4"/>
      <c r="L66" s="4"/>
      <c r="M66" s="4"/>
      <c r="N66" s="4"/>
      <c r="O66" s="4"/>
      <c r="P66" s="4"/>
      <c r="Q66" s="4"/>
      <c r="R66" s="4"/>
      <c r="S66" s="4"/>
      <c r="T66" s="4"/>
      <c r="U66" s="4"/>
      <c r="V66" s="4"/>
      <c r="W66" s="4"/>
      <c r="X66" s="4"/>
      <c r="Y66" s="4"/>
      <c r="Z66" s="4"/>
      <c r="AA66" s="4"/>
      <c r="AB66" s="4"/>
    </row>
    <row r="67" spans="1:28" ht="42" x14ac:dyDescent="0.15">
      <c r="A67" s="8" t="s">
        <v>207</v>
      </c>
      <c r="B67" s="4" t="s">
        <v>150</v>
      </c>
      <c r="C67" s="4" t="s">
        <v>208</v>
      </c>
      <c r="D67" s="9">
        <v>30</v>
      </c>
      <c r="E67" s="14" t="s">
        <v>221</v>
      </c>
      <c r="F67" s="4" t="s">
        <v>206</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25</v>
      </c>
      <c r="B68" s="4" t="s">
        <v>150</v>
      </c>
      <c r="C68" s="4" t="s">
        <v>211</v>
      </c>
      <c r="D68" s="9">
        <v>31</v>
      </c>
      <c r="E68" s="4" t="s">
        <v>212</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25</v>
      </c>
      <c r="B69" s="4" t="s">
        <v>150</v>
      </c>
      <c r="C69" s="4" t="s">
        <v>213</v>
      </c>
      <c r="D69" s="9" t="s">
        <v>214</v>
      </c>
      <c r="E69" s="4" t="s">
        <v>215</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25</v>
      </c>
      <c r="B70" s="4" t="s">
        <v>150</v>
      </c>
      <c r="C70" s="4" t="s">
        <v>213</v>
      </c>
      <c r="D70" s="9" t="s">
        <v>216</v>
      </c>
      <c r="E70" s="4" t="s">
        <v>217</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25</v>
      </c>
      <c r="B71" s="4" t="s">
        <v>150</v>
      </c>
      <c r="C71" s="4" t="s">
        <v>213</v>
      </c>
      <c r="D71" s="9" t="s">
        <v>218</v>
      </c>
      <c r="E71" s="4" t="s">
        <v>219</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25</v>
      </c>
      <c r="B72" s="4" t="s">
        <v>150</v>
      </c>
      <c r="C72" s="4" t="s">
        <v>213</v>
      </c>
      <c r="D72" s="9" t="s">
        <v>218</v>
      </c>
      <c r="E72" s="4" t="s">
        <v>220</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2" topLeftCell="F3" activePane="bottomRight" state="frozen"/>
      <selection pane="topRight" activeCell="F1" sqref="F1"/>
      <selection pane="bottomLeft" activeCell="A3" sqref="A3"/>
      <selection pane="bottomRight" activeCell="F3" sqref="F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5"/>
      <c r="B5" s="5"/>
      <c r="C5" s="3"/>
      <c r="D5" s="6"/>
      <c r="E5" s="3"/>
      <c r="F5" s="3"/>
      <c r="G5" s="3"/>
      <c r="H5" s="3"/>
      <c r="I5" s="3"/>
      <c r="J5" s="4"/>
      <c r="K5" s="4"/>
      <c r="L5" s="4"/>
      <c r="M5" s="4"/>
      <c r="N5" s="4"/>
      <c r="O5" s="4"/>
      <c r="P5" s="4"/>
      <c r="Q5" s="4"/>
      <c r="R5" s="4"/>
      <c r="S5" s="4"/>
      <c r="T5" s="4"/>
      <c r="U5" s="4"/>
      <c r="V5" s="4"/>
      <c r="W5" s="4"/>
      <c r="X5" s="4"/>
      <c r="Y5" s="4"/>
      <c r="Z5" s="4"/>
    </row>
    <row r="6" spans="1:26" ht="13" x14ac:dyDescent="0.15">
      <c r="A6" s="5"/>
      <c r="B6" s="5"/>
      <c r="C6" s="3"/>
      <c r="D6" s="6"/>
      <c r="E6" s="3"/>
      <c r="F6" s="3"/>
      <c r="G6" s="3"/>
      <c r="H6" s="3"/>
      <c r="I6" s="3"/>
      <c r="J6" s="4"/>
      <c r="K6" s="4"/>
      <c r="L6" s="4"/>
      <c r="M6" s="4"/>
      <c r="N6" s="4"/>
      <c r="O6" s="4"/>
      <c r="P6" s="4"/>
      <c r="Q6" s="4"/>
      <c r="R6" s="4"/>
      <c r="S6" s="4"/>
      <c r="T6" s="4"/>
      <c r="U6" s="4"/>
      <c r="V6" s="4"/>
      <c r="W6" s="4"/>
      <c r="X6" s="4"/>
      <c r="Y6" s="4"/>
      <c r="Z6" s="4"/>
    </row>
    <row r="7" spans="1:26" ht="13" x14ac:dyDescent="0.15">
      <c r="A7" s="5"/>
      <c r="B7" s="5"/>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6" t="s">
        <v>7</v>
      </c>
      <c r="E10" s="3" t="s">
        <v>8</v>
      </c>
      <c r="F10" s="7" t="s">
        <v>9</v>
      </c>
      <c r="G10" s="7" t="s">
        <v>10</v>
      </c>
      <c r="H10" s="7" t="s">
        <v>11</v>
      </c>
      <c r="I10" s="7" t="s">
        <v>21</v>
      </c>
      <c r="J10" s="7" t="s">
        <v>12</v>
      </c>
      <c r="K10" s="7" t="s">
        <v>13</v>
      </c>
      <c r="L10" s="7" t="s">
        <v>14</v>
      </c>
      <c r="M10" s="4" t="s">
        <v>24</v>
      </c>
      <c r="N10" s="4" t="s">
        <v>26</v>
      </c>
      <c r="O10" s="10" t="s">
        <v>28</v>
      </c>
      <c r="P10" s="4"/>
      <c r="Q10" s="4"/>
      <c r="R10" s="4"/>
      <c r="S10" s="4"/>
      <c r="T10" s="4"/>
      <c r="U10" s="4"/>
      <c r="V10" s="4"/>
      <c r="W10" s="4"/>
      <c r="X10" s="4"/>
      <c r="Y10" s="4"/>
      <c r="Z10" s="4"/>
    </row>
    <row r="11" spans="1:26" ht="42" x14ac:dyDescent="0.15">
      <c r="A11" s="8" t="s">
        <v>15</v>
      </c>
      <c r="B11" s="4" t="s">
        <v>16</v>
      </c>
      <c r="C11" s="4" t="s">
        <v>17</v>
      </c>
      <c r="D11" s="9" t="s">
        <v>18</v>
      </c>
      <c r="E11" s="4" t="s">
        <v>19</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3</v>
      </c>
      <c r="O11" s="4">
        <f>AVERAGE('second score'!H11:'second score'!J11)</f>
        <v>3</v>
      </c>
      <c r="P11" s="4"/>
      <c r="Q11" s="4"/>
      <c r="R11" s="4"/>
      <c r="S11" s="4"/>
      <c r="T11" s="4"/>
      <c r="U11" s="4"/>
      <c r="V11" s="4"/>
      <c r="W11" s="4"/>
      <c r="X11" s="4"/>
      <c r="Y11" s="4"/>
      <c r="Z11" s="4"/>
    </row>
    <row r="12" spans="1:26" ht="42" x14ac:dyDescent="0.15">
      <c r="A12" s="8" t="s">
        <v>15</v>
      </c>
      <c r="B12" s="4" t="s">
        <v>16</v>
      </c>
      <c r="C12" s="4" t="s">
        <v>17</v>
      </c>
      <c r="D12" s="9" t="s">
        <v>22</v>
      </c>
      <c r="E12" s="4" t="s">
        <v>23</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25</v>
      </c>
      <c r="B13" s="4" t="s">
        <v>16</v>
      </c>
      <c r="C13" s="4" t="s">
        <v>27</v>
      </c>
      <c r="D13" s="9">
        <v>2</v>
      </c>
      <c r="E13" s="4" t="s">
        <v>29</v>
      </c>
      <c r="F13" s="4"/>
      <c r="G13" s="4"/>
      <c r="H13" s="4"/>
      <c r="I13" s="4"/>
      <c r="J13" s="4"/>
      <c r="K13" s="4"/>
      <c r="L13" s="4"/>
      <c r="M13" s="4"/>
      <c r="N13" s="4"/>
      <c r="O13" s="4"/>
      <c r="P13" s="4"/>
      <c r="Q13" s="4"/>
      <c r="R13" s="4"/>
      <c r="S13" s="4"/>
      <c r="T13" s="4"/>
      <c r="U13" s="4"/>
      <c r="V13" s="4"/>
      <c r="W13" s="4"/>
      <c r="X13" s="4"/>
      <c r="Y13" s="4"/>
      <c r="Z13" s="4"/>
    </row>
    <row r="14" spans="1:26" ht="42" x14ac:dyDescent="0.15">
      <c r="A14" s="8" t="s">
        <v>15</v>
      </c>
      <c r="B14" s="4" t="s">
        <v>16</v>
      </c>
      <c r="C14" s="4" t="s">
        <v>30</v>
      </c>
      <c r="D14" s="9">
        <v>3</v>
      </c>
      <c r="E14" s="4" t="s">
        <v>31</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25</v>
      </c>
      <c r="B15" s="4" t="s">
        <v>16</v>
      </c>
      <c r="C15" s="4" t="s">
        <v>32</v>
      </c>
      <c r="D15" s="9" t="s">
        <v>33</v>
      </c>
      <c r="E15" s="4" t="s">
        <v>34</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25</v>
      </c>
      <c r="B16" s="4" t="s">
        <v>16</v>
      </c>
      <c r="C16" s="4" t="s">
        <v>32</v>
      </c>
      <c r="D16" s="9" t="s">
        <v>35</v>
      </c>
      <c r="E16" s="4" t="s">
        <v>36</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25</v>
      </c>
      <c r="B17" s="4" t="s">
        <v>16</v>
      </c>
      <c r="C17" s="4" t="s">
        <v>32</v>
      </c>
      <c r="D17" s="9" t="s">
        <v>37</v>
      </c>
      <c r="E17" s="4" t="s">
        <v>38</v>
      </c>
      <c r="F17" s="4"/>
      <c r="G17" s="4"/>
      <c r="H17" s="4"/>
      <c r="I17" s="4"/>
      <c r="J17" s="4"/>
      <c r="K17" s="4"/>
      <c r="L17" s="4"/>
      <c r="M17" s="4"/>
      <c r="N17" s="4"/>
      <c r="O17" s="4"/>
      <c r="P17" s="4"/>
      <c r="Q17" s="4"/>
      <c r="R17" s="4"/>
      <c r="S17" s="4"/>
      <c r="T17" s="4"/>
      <c r="U17" s="4"/>
      <c r="V17" s="4"/>
      <c r="W17" s="4"/>
      <c r="X17" s="4"/>
      <c r="Y17" s="4"/>
      <c r="Z17" s="4"/>
    </row>
    <row r="18" spans="1:26" ht="42" x14ac:dyDescent="0.15">
      <c r="A18" s="8" t="s">
        <v>15</v>
      </c>
      <c r="B18" s="4" t="s">
        <v>16</v>
      </c>
      <c r="C18" s="4" t="s">
        <v>39</v>
      </c>
      <c r="D18" s="9">
        <v>5</v>
      </c>
      <c r="E18" s="4" t="s">
        <v>40</v>
      </c>
      <c r="F18" s="4"/>
      <c r="G18" s="4"/>
      <c r="H18" s="4"/>
      <c r="I18" s="4" t="b">
        <f>'first score'!H18='second score'!H18</f>
        <v>1</v>
      </c>
      <c r="J18" s="4" t="b">
        <f>'first score'!I18='second score'!I18</f>
        <v>1</v>
      </c>
      <c r="K18" s="4" t="b">
        <f>'first score'!J18='second score'!J18</f>
        <v>1</v>
      </c>
      <c r="L18" s="4"/>
      <c r="M18" s="4" t="b">
        <f>AND(I18:K18)</f>
        <v>1</v>
      </c>
      <c r="N18" s="4">
        <f>AVERAGE('first score'!H18:'first score'!J18)</f>
        <v>3</v>
      </c>
      <c r="O18" s="4">
        <f>AVERAGE('second score'!H18:'second score'!J18)</f>
        <v>3</v>
      </c>
      <c r="P18" s="4"/>
      <c r="Q18" s="4"/>
      <c r="R18" s="4"/>
      <c r="S18" s="4"/>
      <c r="T18" s="4"/>
      <c r="U18" s="4"/>
      <c r="V18" s="4"/>
      <c r="W18" s="4"/>
      <c r="X18" s="4"/>
      <c r="Y18" s="4"/>
      <c r="Z18" s="4"/>
    </row>
    <row r="19" spans="1:26" ht="42" hidden="1" x14ac:dyDescent="0.15">
      <c r="A19" s="4" t="s">
        <v>25</v>
      </c>
      <c r="B19" s="4" t="s">
        <v>16</v>
      </c>
      <c r="C19" s="4" t="s">
        <v>42</v>
      </c>
      <c r="D19" s="9" t="s">
        <v>43</v>
      </c>
      <c r="E19" s="4" t="s">
        <v>44</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25</v>
      </c>
      <c r="B20" s="4" t="s">
        <v>16</v>
      </c>
      <c r="C20" s="4" t="s">
        <v>42</v>
      </c>
      <c r="D20" s="9" t="s">
        <v>45</v>
      </c>
      <c r="E20" s="4" t="s">
        <v>46</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25</v>
      </c>
      <c r="B21" s="4" t="s">
        <v>16</v>
      </c>
      <c r="C21" s="4" t="s">
        <v>42</v>
      </c>
      <c r="D21" s="9" t="s">
        <v>47</v>
      </c>
      <c r="E21" s="4" t="s">
        <v>48</v>
      </c>
      <c r="F21" s="4"/>
      <c r="G21" s="4"/>
      <c r="H21" s="4"/>
      <c r="I21" s="4"/>
      <c r="J21" s="4"/>
      <c r="K21" s="4"/>
      <c r="L21" s="4"/>
      <c r="M21" s="4"/>
      <c r="N21" s="4"/>
      <c r="O21" s="4"/>
      <c r="P21" s="4"/>
      <c r="Q21" s="4"/>
      <c r="R21" s="4"/>
      <c r="S21" s="4"/>
      <c r="T21" s="4"/>
      <c r="U21" s="4"/>
      <c r="V21" s="4"/>
      <c r="W21" s="4"/>
      <c r="X21" s="4"/>
      <c r="Y21" s="4"/>
      <c r="Z21" s="4"/>
    </row>
    <row r="22" spans="1:26" ht="42" x14ac:dyDescent="0.15">
      <c r="A22" s="8" t="s">
        <v>49</v>
      </c>
      <c r="B22" s="4" t="s">
        <v>50</v>
      </c>
      <c r="C22" s="4" t="s">
        <v>51</v>
      </c>
      <c r="D22" s="9">
        <v>7</v>
      </c>
      <c r="E22" s="4" t="s">
        <v>52</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x14ac:dyDescent="0.15">
      <c r="A23" s="8" t="s">
        <v>49</v>
      </c>
      <c r="B23" s="4" t="s">
        <v>50</v>
      </c>
      <c r="C23" s="4" t="s">
        <v>54</v>
      </c>
      <c r="D23" s="9">
        <v>8</v>
      </c>
      <c r="E23" s="4" t="s">
        <v>55</v>
      </c>
      <c r="F23" s="4" t="s">
        <v>56</v>
      </c>
      <c r="G23" s="4"/>
      <c r="H23" s="4"/>
      <c r="I23" s="4" t="b">
        <f>'first score'!H23='second score'!H23</f>
        <v>1</v>
      </c>
      <c r="J23" s="4" t="b">
        <f>'first score'!I23='second score'!I23</f>
        <v>1</v>
      </c>
      <c r="K23" s="4" t="b">
        <f>'first score'!J23='second score'!J23</f>
        <v>1</v>
      </c>
      <c r="L23" s="4"/>
      <c r="M23" s="4" t="b">
        <f t="shared" si="1"/>
        <v>1</v>
      </c>
      <c r="N23" s="4">
        <f>AVERAGE('first score'!H23:'first score'!J23)</f>
        <v>3</v>
      </c>
      <c r="O23" s="4">
        <f>AVERAGE('second score'!H23:'second score'!J23)</f>
        <v>3</v>
      </c>
      <c r="P23" s="4"/>
      <c r="Q23" s="4"/>
      <c r="R23" s="4"/>
      <c r="S23" s="4"/>
      <c r="T23" s="4"/>
      <c r="U23" s="4"/>
      <c r="V23" s="4"/>
      <c r="W23" s="4"/>
      <c r="X23" s="4"/>
      <c r="Y23" s="4"/>
      <c r="Z23" s="4"/>
    </row>
    <row r="24" spans="1:26" ht="42" x14ac:dyDescent="0.15">
      <c r="A24" s="8" t="s">
        <v>58</v>
      </c>
      <c r="B24" s="4" t="s">
        <v>59</v>
      </c>
      <c r="C24" s="4" t="s">
        <v>60</v>
      </c>
      <c r="D24" s="9">
        <v>9</v>
      </c>
      <c r="E24" s="4" t="s">
        <v>62</v>
      </c>
      <c r="F24" s="4"/>
      <c r="G24" s="4"/>
      <c r="H24" s="4"/>
      <c r="I24" s="4" t="b">
        <f>'first score'!H24='second score'!H24</f>
        <v>1</v>
      </c>
      <c r="J24" s="4" t="b">
        <f>'first score'!I24='second score'!I24</f>
        <v>1</v>
      </c>
      <c r="K24" s="4" t="b">
        <f>'first score'!J24='second score'!J24</f>
        <v>1</v>
      </c>
      <c r="L24" s="4"/>
      <c r="M24" s="4" t="b">
        <f t="shared" si="1"/>
        <v>1</v>
      </c>
      <c r="N24" s="4">
        <f>AVERAGE('first score'!H24:'first score'!J24)</f>
        <v>3</v>
      </c>
      <c r="O24" s="4">
        <f>AVERAGE('second score'!H24:'second score'!J24)</f>
        <v>3</v>
      </c>
      <c r="P24" s="4"/>
      <c r="Q24" s="4"/>
      <c r="R24" s="4"/>
      <c r="S24" s="4"/>
      <c r="T24" s="4"/>
      <c r="U24" s="4"/>
      <c r="V24" s="4"/>
      <c r="W24" s="4"/>
      <c r="X24" s="4"/>
      <c r="Y24" s="4"/>
      <c r="Z24" s="4"/>
    </row>
    <row r="25" spans="1:26" ht="42" x14ac:dyDescent="0.15">
      <c r="A25" s="8" t="s">
        <v>58</v>
      </c>
      <c r="B25" s="4" t="s">
        <v>59</v>
      </c>
      <c r="C25" s="4" t="s">
        <v>64</v>
      </c>
      <c r="D25" s="9">
        <v>12</v>
      </c>
      <c r="E25" s="4" t="s">
        <v>65</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x14ac:dyDescent="0.15">
      <c r="A26" s="4" t="s">
        <v>66</v>
      </c>
      <c r="B26" s="4" t="s">
        <v>59</v>
      </c>
      <c r="C26" s="4" t="s">
        <v>67</v>
      </c>
      <c r="D26" s="9">
        <v>10</v>
      </c>
      <c r="E26" s="4" t="s">
        <v>68</v>
      </c>
      <c r="F26" s="4"/>
      <c r="G26" s="4"/>
      <c r="H26" s="4"/>
      <c r="I26" s="4" t="b">
        <f>'first score'!H26='second score'!H26</f>
        <v>1</v>
      </c>
      <c r="J26" s="4" t="b">
        <f>'first score'!I26='second score'!I26</f>
        <v>1</v>
      </c>
      <c r="K26" s="4" t="b">
        <f>'first score'!J26='second score'!J26</f>
        <v>1</v>
      </c>
      <c r="L26" s="4"/>
      <c r="M26" s="4" t="b">
        <f t="shared" si="1"/>
        <v>1</v>
      </c>
      <c r="N26" s="4">
        <f>AVERAGE('first score'!H26:'first score'!J26)</f>
        <v>3</v>
      </c>
      <c r="O26" s="4">
        <f>AVERAGE('second score'!H26:'second score'!J26)</f>
        <v>3</v>
      </c>
      <c r="P26" s="4"/>
      <c r="Q26" s="4"/>
      <c r="R26" s="4"/>
      <c r="S26" s="4"/>
      <c r="T26" s="4"/>
      <c r="U26" s="4"/>
      <c r="V26" s="4"/>
      <c r="W26" s="4"/>
      <c r="X26" s="4"/>
      <c r="Y26" s="4"/>
      <c r="Z26" s="4"/>
    </row>
    <row r="27" spans="1:26" ht="28" x14ac:dyDescent="0.15">
      <c r="A27" s="8" t="s">
        <v>70</v>
      </c>
      <c r="B27" s="4" t="s">
        <v>59</v>
      </c>
      <c r="C27" s="4" t="s">
        <v>71</v>
      </c>
      <c r="D27" s="9">
        <v>11</v>
      </c>
      <c r="E27" s="4" t="s">
        <v>72</v>
      </c>
      <c r="F27" s="4"/>
      <c r="G27" s="4"/>
      <c r="H27" s="4"/>
      <c r="I27" s="4" t="b">
        <f>'first score'!H27='second score'!H27</f>
        <v>1</v>
      </c>
      <c r="J27" s="4" t="b">
        <f>'first score'!I27='second score'!I27</f>
        <v>1</v>
      </c>
      <c r="K27" s="4" t="b">
        <f>'first score'!J27='second score'!J27</f>
        <v>1</v>
      </c>
      <c r="L27" s="4"/>
      <c r="M27" s="4" t="b">
        <f t="shared" si="1"/>
        <v>1</v>
      </c>
      <c r="N27" s="4">
        <f>AVERAGE('first score'!H27:'first score'!J27)</f>
        <v>3</v>
      </c>
      <c r="O27" s="4">
        <f>AVERAGE('second score'!H27:'second score'!J27)</f>
        <v>3</v>
      </c>
      <c r="P27" s="4"/>
      <c r="Q27" s="4"/>
      <c r="R27" s="4"/>
      <c r="S27" s="4"/>
      <c r="T27" s="4"/>
      <c r="U27" s="4"/>
      <c r="V27" s="4"/>
      <c r="W27" s="4"/>
      <c r="X27" s="4"/>
      <c r="Y27" s="4"/>
      <c r="Z27" s="4"/>
    </row>
    <row r="28" spans="1:26" ht="42" x14ac:dyDescent="0.15">
      <c r="A28" s="8" t="s">
        <v>75</v>
      </c>
      <c r="B28" s="4" t="s">
        <v>59</v>
      </c>
      <c r="C28" s="4" t="s">
        <v>76</v>
      </c>
      <c r="D28" s="9" t="s">
        <v>77</v>
      </c>
      <c r="E28" s="4" t="s">
        <v>78</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112" x14ac:dyDescent="0.15">
      <c r="A29" s="8" t="s">
        <v>75</v>
      </c>
      <c r="B29" s="4" t="s">
        <v>59</v>
      </c>
      <c r="C29" s="4" t="s">
        <v>76</v>
      </c>
      <c r="D29" s="9" t="s">
        <v>81</v>
      </c>
      <c r="E29" s="4" t="s">
        <v>82</v>
      </c>
      <c r="F29" s="4" t="s">
        <v>83</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x14ac:dyDescent="0.15">
      <c r="A30" s="8" t="s">
        <v>75</v>
      </c>
      <c r="B30" s="4" t="s">
        <v>59</v>
      </c>
      <c r="C30" s="4" t="s">
        <v>76</v>
      </c>
      <c r="D30" s="9" t="s">
        <v>84</v>
      </c>
      <c r="E30" s="4" t="s">
        <v>85</v>
      </c>
      <c r="F30" s="4"/>
      <c r="G30" s="4"/>
      <c r="H30" s="4"/>
      <c r="I30" s="4" t="b">
        <f>'first score'!H30='second score'!H30</f>
        <v>1</v>
      </c>
      <c r="J30" s="4" t="b">
        <f>'first score'!I30='second score'!I30</f>
        <v>1</v>
      </c>
      <c r="K30" s="4" t="b">
        <f>'first score'!J30='second score'!J30</f>
        <v>1</v>
      </c>
      <c r="L30" s="4"/>
      <c r="M30" s="4" t="b">
        <f t="shared" si="1"/>
        <v>1</v>
      </c>
      <c r="N30" s="4">
        <f>AVERAGE('first score'!H30:'first score'!J30)</f>
        <v>3</v>
      </c>
      <c r="O30" s="4">
        <f>AVERAGE('second score'!H30:'second score'!J30)</f>
        <v>3</v>
      </c>
      <c r="P30" s="4"/>
      <c r="Q30" s="4"/>
      <c r="R30" s="4"/>
      <c r="S30" s="4"/>
      <c r="T30" s="4"/>
      <c r="U30" s="4"/>
      <c r="V30" s="4"/>
      <c r="W30" s="4"/>
      <c r="X30" s="4"/>
      <c r="Y30" s="4"/>
      <c r="Z30" s="4"/>
    </row>
    <row r="31" spans="1:26" ht="28" x14ac:dyDescent="0.15">
      <c r="A31" s="8" t="s">
        <v>86</v>
      </c>
      <c r="B31" s="4" t="s">
        <v>59</v>
      </c>
      <c r="C31" s="4" t="s">
        <v>87</v>
      </c>
      <c r="D31" s="9">
        <v>14</v>
      </c>
      <c r="E31" s="4" t="s">
        <v>88</v>
      </c>
      <c r="F31" s="4"/>
      <c r="G31" s="4"/>
      <c r="H31" s="4"/>
      <c r="I31" s="4" t="b">
        <f>'first score'!H31='second score'!H31</f>
        <v>1</v>
      </c>
      <c r="J31" s="4" t="b">
        <f>'first score'!I31='second score'!I31</f>
        <v>1</v>
      </c>
      <c r="K31" s="4" t="b">
        <f>'first score'!J31='second score'!J31</f>
        <v>1</v>
      </c>
      <c r="L31" s="4"/>
      <c r="M31" s="4" t="b">
        <f t="shared" si="1"/>
        <v>1</v>
      </c>
      <c r="N31" s="4">
        <f>AVERAGE('first score'!H31:'first score'!J31)</f>
        <v>2.6666666666666665</v>
      </c>
      <c r="O31" s="4">
        <f>AVERAGE('second score'!H31:'second score'!J31)</f>
        <v>2.6666666666666665</v>
      </c>
      <c r="P31" s="4"/>
      <c r="Q31" s="4"/>
      <c r="R31" s="4"/>
      <c r="S31" s="4"/>
      <c r="T31" s="4"/>
      <c r="U31" s="4"/>
      <c r="V31" s="4"/>
      <c r="W31" s="4"/>
      <c r="X31" s="4"/>
      <c r="Y31" s="4"/>
      <c r="Z31" s="4"/>
    </row>
    <row r="32" spans="1:26" ht="28" x14ac:dyDescent="0.15">
      <c r="A32" s="8" t="s">
        <v>86</v>
      </c>
      <c r="B32" s="4" t="s">
        <v>59</v>
      </c>
      <c r="C32" s="4" t="s">
        <v>90</v>
      </c>
      <c r="D32" s="9">
        <v>15</v>
      </c>
      <c r="E32" s="4" t="s">
        <v>91</v>
      </c>
      <c r="F32" s="4" t="s">
        <v>92</v>
      </c>
      <c r="G32" s="4"/>
      <c r="H32" s="4"/>
      <c r="I32" s="4" t="b">
        <f>'first score'!H32='second score'!H32</f>
        <v>1</v>
      </c>
      <c r="J32" s="4" t="b">
        <f>'first score'!I32='second score'!I32</f>
        <v>1</v>
      </c>
      <c r="K32" s="4" t="b">
        <f>'first score'!J32='second score'!J32</f>
        <v>1</v>
      </c>
      <c r="L32" s="4"/>
      <c r="M32" s="4" t="b">
        <f t="shared" si="1"/>
        <v>1</v>
      </c>
      <c r="N32" s="4">
        <f>AVERAGE('first score'!H32:'first score'!J32)</f>
        <v>3</v>
      </c>
      <c r="O32" s="4">
        <f>AVERAGE('second score'!H32:'second score'!J32)</f>
        <v>3</v>
      </c>
      <c r="P32" s="4"/>
      <c r="Q32" s="4"/>
      <c r="R32" s="4"/>
      <c r="S32" s="4"/>
      <c r="T32" s="4"/>
      <c r="U32" s="4"/>
      <c r="V32" s="4"/>
      <c r="W32" s="4"/>
      <c r="X32" s="4"/>
      <c r="Y32" s="4"/>
      <c r="Z32" s="4"/>
    </row>
    <row r="33" spans="1:26" ht="28" x14ac:dyDescent="0.15">
      <c r="A33" s="8" t="s">
        <v>93</v>
      </c>
      <c r="B33" s="4" t="s">
        <v>94</v>
      </c>
      <c r="C33" s="4" t="s">
        <v>95</v>
      </c>
      <c r="D33" s="9">
        <v>16</v>
      </c>
      <c r="E33" s="4" t="s">
        <v>97</v>
      </c>
      <c r="F33" s="4"/>
      <c r="G33" s="4"/>
      <c r="H33" s="4"/>
      <c r="I33" s="4" t="b">
        <f>'first score'!H33='second score'!H33</f>
        <v>1</v>
      </c>
      <c r="J33" s="4" t="b">
        <f>'first score'!I33='second score'!I33</f>
        <v>1</v>
      </c>
      <c r="K33" s="4" t="b">
        <f>'first score'!J33='second score'!J33</f>
        <v>1</v>
      </c>
      <c r="L33" s="4"/>
      <c r="M33" s="4" t="b">
        <f t="shared" si="1"/>
        <v>1</v>
      </c>
      <c r="N33" s="4">
        <f>AVERAGE('first score'!H33:'first score'!J33)</f>
        <v>3</v>
      </c>
      <c r="O33" s="4">
        <f>AVERAGE('second score'!H33:'second score'!J33)</f>
        <v>3</v>
      </c>
      <c r="P33" s="4"/>
      <c r="Q33" s="4"/>
      <c r="R33" s="4"/>
      <c r="S33" s="4"/>
      <c r="T33" s="4"/>
      <c r="U33" s="4"/>
      <c r="V33" s="4"/>
      <c r="W33" s="4"/>
      <c r="X33" s="4"/>
      <c r="Y33" s="4"/>
      <c r="Z33" s="4"/>
    </row>
    <row r="34" spans="1:26" ht="28" x14ac:dyDescent="0.15">
      <c r="A34" s="8" t="s">
        <v>93</v>
      </c>
      <c r="B34" s="4" t="s">
        <v>94</v>
      </c>
      <c r="C34" s="4" t="s">
        <v>95</v>
      </c>
      <c r="D34" s="9">
        <v>17</v>
      </c>
      <c r="E34" s="4" t="s">
        <v>98</v>
      </c>
      <c r="F34" s="4"/>
      <c r="G34" s="4"/>
      <c r="H34" s="4"/>
      <c r="I34" s="4" t="b">
        <f>'first score'!H34='second score'!H34</f>
        <v>1</v>
      </c>
      <c r="J34" s="4" t="b">
        <f>'first score'!I34='second score'!I34</f>
        <v>1</v>
      </c>
      <c r="K34" s="4" t="b">
        <f>'first score'!J34='second score'!J34</f>
        <v>1</v>
      </c>
      <c r="L34" s="4"/>
      <c r="M34" s="4" t="b">
        <f t="shared" si="1"/>
        <v>1</v>
      </c>
      <c r="N34" s="4">
        <f>AVERAGE('first score'!H34:'first score'!J34)</f>
        <v>3</v>
      </c>
      <c r="O34" s="4">
        <f>AVERAGE('second score'!H34:'second score'!J34)</f>
        <v>3</v>
      </c>
      <c r="P34" s="4"/>
      <c r="Q34" s="4"/>
      <c r="R34" s="4"/>
      <c r="S34" s="4"/>
      <c r="T34" s="4"/>
      <c r="U34" s="4"/>
      <c r="V34" s="4"/>
      <c r="W34" s="4"/>
      <c r="X34" s="4"/>
      <c r="Y34" s="4"/>
      <c r="Z34" s="4"/>
    </row>
    <row r="35" spans="1:26" ht="28" x14ac:dyDescent="0.15">
      <c r="A35" s="8" t="s">
        <v>93</v>
      </c>
      <c r="B35" s="4" t="s">
        <v>94</v>
      </c>
      <c r="C35" s="4" t="s">
        <v>95</v>
      </c>
      <c r="D35" s="9">
        <v>18</v>
      </c>
      <c r="E35" s="4" t="s">
        <v>101</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x14ac:dyDescent="0.15">
      <c r="A36" s="8" t="s">
        <v>93</v>
      </c>
      <c r="B36" s="4" t="s">
        <v>94</v>
      </c>
      <c r="C36" s="4" t="s">
        <v>102</v>
      </c>
      <c r="D36" s="9" t="s">
        <v>103</v>
      </c>
      <c r="E36" s="4" t="s">
        <v>104</v>
      </c>
      <c r="F36" s="4"/>
      <c r="G36" s="4"/>
      <c r="H36" s="4"/>
      <c r="I36" s="4" t="b">
        <f>'first score'!H36='second score'!H36</f>
        <v>1</v>
      </c>
      <c r="J36" s="4" t="b">
        <f>'first score'!I36='second score'!I36</f>
        <v>1</v>
      </c>
      <c r="K36" s="4" t="b">
        <f>'first score'!J36='second score'!J36</f>
        <v>1</v>
      </c>
      <c r="L36" s="4"/>
      <c r="M36" s="4" t="b">
        <f t="shared" si="1"/>
        <v>1</v>
      </c>
      <c r="N36" s="4">
        <f>AVERAGE('first score'!H36:'first score'!J36)</f>
        <v>3</v>
      </c>
      <c r="O36" s="4">
        <f>AVERAGE('second score'!H36:'second score'!J36)</f>
        <v>3</v>
      </c>
      <c r="P36" s="4"/>
      <c r="Q36" s="4"/>
      <c r="R36" s="4"/>
      <c r="S36" s="4"/>
      <c r="T36" s="4"/>
      <c r="U36" s="4"/>
      <c r="V36" s="4"/>
      <c r="W36" s="4"/>
      <c r="X36" s="4"/>
      <c r="Y36" s="4"/>
      <c r="Z36" s="4"/>
    </row>
    <row r="37" spans="1:26" ht="42" x14ac:dyDescent="0.15">
      <c r="A37" s="8" t="s">
        <v>93</v>
      </c>
      <c r="B37" s="4" t="s">
        <v>94</v>
      </c>
      <c r="C37" s="4" t="s">
        <v>102</v>
      </c>
      <c r="D37" s="9" t="s">
        <v>105</v>
      </c>
      <c r="E37" s="4" t="s">
        <v>106</v>
      </c>
      <c r="F37" s="4"/>
      <c r="G37" s="4"/>
      <c r="H37" s="4"/>
      <c r="I37" s="4" t="b">
        <f>'first score'!H37='second score'!H37</f>
        <v>1</v>
      </c>
      <c r="J37" s="4" t="b">
        <f>'first score'!I37='second score'!I37</f>
        <v>1</v>
      </c>
      <c r="K37" s="4" t="b">
        <f>'first score'!J37='second score'!J37</f>
        <v>1</v>
      </c>
      <c r="L37" s="4"/>
      <c r="M37" s="4" t="b">
        <f t="shared" si="1"/>
        <v>1</v>
      </c>
      <c r="N37" s="4">
        <f>AVERAGE('first score'!H37:'first score'!J37)</f>
        <v>2.3333333333333335</v>
      </c>
      <c r="O37" s="4">
        <f>AVERAGE('second score'!H37:'second score'!J37)</f>
        <v>2.3333333333333335</v>
      </c>
      <c r="P37" s="4"/>
      <c r="Q37" s="4"/>
      <c r="R37" s="4"/>
      <c r="S37" s="4"/>
      <c r="T37" s="4"/>
      <c r="U37" s="4"/>
      <c r="V37" s="4"/>
      <c r="W37" s="4"/>
      <c r="X37" s="4"/>
      <c r="Y37" s="4"/>
      <c r="Z37" s="4"/>
    </row>
    <row r="38" spans="1:26" ht="140" x14ac:dyDescent="0.15">
      <c r="A38" s="8" t="s">
        <v>93</v>
      </c>
      <c r="B38" s="4" t="s">
        <v>94</v>
      </c>
      <c r="C38" s="4" t="s">
        <v>102</v>
      </c>
      <c r="D38" s="9" t="s">
        <v>108</v>
      </c>
      <c r="E38" s="4" t="s">
        <v>109</v>
      </c>
      <c r="F38" s="4" t="s">
        <v>110</v>
      </c>
      <c r="G38" s="4"/>
      <c r="H38" s="4"/>
      <c r="I38" s="4" t="b">
        <f>'first score'!H38='second score'!H38</f>
        <v>1</v>
      </c>
      <c r="J38" s="4" t="b">
        <f>'first score'!I38='second score'!I38</f>
        <v>1</v>
      </c>
      <c r="K38" s="4" t="b">
        <f>'first score'!J38='second score'!J38</f>
        <v>1</v>
      </c>
      <c r="L38" s="4"/>
      <c r="M38" s="4" t="b">
        <f t="shared" si="1"/>
        <v>1</v>
      </c>
      <c r="N38" s="4">
        <f>AVERAGE('first score'!H38:'first score'!J38)</f>
        <v>2.6666666666666665</v>
      </c>
      <c r="O38" s="4">
        <f>AVERAGE('second score'!H38:'second score'!J38)</f>
        <v>2.6666666666666665</v>
      </c>
      <c r="P38" s="4"/>
      <c r="Q38" s="4"/>
      <c r="R38" s="4"/>
      <c r="S38" s="4"/>
      <c r="T38" s="4"/>
      <c r="U38" s="4"/>
      <c r="V38" s="4"/>
      <c r="W38" s="4"/>
      <c r="X38" s="4"/>
      <c r="Y38" s="4"/>
      <c r="Z38" s="4"/>
    </row>
    <row r="39" spans="1:26" ht="56" x14ac:dyDescent="0.15">
      <c r="A39" s="8" t="s">
        <v>93</v>
      </c>
      <c r="B39" s="4" t="s">
        <v>94</v>
      </c>
      <c r="C39" s="4" t="s">
        <v>102</v>
      </c>
      <c r="D39" s="9" t="s">
        <v>111</v>
      </c>
      <c r="E39" s="4" t="s">
        <v>112</v>
      </c>
      <c r="F39" s="4" t="s">
        <v>113</v>
      </c>
      <c r="G39" s="4"/>
      <c r="H39" s="4"/>
      <c r="I39" s="4" t="b">
        <f>'first score'!H39='second score'!H39</f>
        <v>1</v>
      </c>
      <c r="J39" s="4" t="b">
        <f>'first score'!I39='second score'!I39</f>
        <v>1</v>
      </c>
      <c r="K39" s="4" t="b">
        <f>'first score'!J39='second score'!J39</f>
        <v>1</v>
      </c>
      <c r="L39" s="4"/>
      <c r="M39" s="4" t="b">
        <f t="shared" si="1"/>
        <v>1</v>
      </c>
      <c r="N39" s="4">
        <f>AVERAGE('first score'!H39:'first score'!J39)</f>
        <v>2.6666666666666665</v>
      </c>
      <c r="O39" s="4">
        <f>AVERAGE('second score'!H39:'second score'!J39)</f>
        <v>2.6666666666666665</v>
      </c>
      <c r="P39" s="4"/>
      <c r="Q39" s="4"/>
      <c r="R39" s="4"/>
      <c r="S39" s="4"/>
      <c r="T39" s="4"/>
      <c r="U39" s="4"/>
      <c r="V39" s="4"/>
      <c r="W39" s="4"/>
      <c r="X39" s="4"/>
      <c r="Y39" s="4"/>
      <c r="Z39" s="4"/>
    </row>
    <row r="40" spans="1:26" ht="84" x14ac:dyDescent="0.15">
      <c r="A40" s="8" t="s">
        <v>116</v>
      </c>
      <c r="B40" s="4" t="s">
        <v>94</v>
      </c>
      <c r="C40" s="4" t="s">
        <v>117</v>
      </c>
      <c r="D40" s="9">
        <v>20</v>
      </c>
      <c r="E40" s="4" t="s">
        <v>118</v>
      </c>
      <c r="F40" s="4" t="s">
        <v>119</v>
      </c>
      <c r="G40" s="4"/>
      <c r="H40" s="4"/>
      <c r="I40" s="4" t="b">
        <f>'first score'!H40='second score'!H40</f>
        <v>1</v>
      </c>
      <c r="J40" s="4" t="b">
        <f>'first score'!I40='second score'!I40</f>
        <v>1</v>
      </c>
      <c r="K40" s="4" t="b">
        <f>'first score'!J40='second score'!J40</f>
        <v>1</v>
      </c>
      <c r="L40" s="4"/>
      <c r="M40" s="4" t="b">
        <f t="shared" si="1"/>
        <v>1</v>
      </c>
      <c r="N40" s="4">
        <f>AVERAGE('first score'!H40:'first score'!J40)</f>
        <v>3</v>
      </c>
      <c r="O40" s="4">
        <f>AVERAGE('second score'!H40:'second score'!J40)</f>
        <v>3</v>
      </c>
      <c r="P40" s="4"/>
      <c r="Q40" s="4"/>
      <c r="R40" s="4"/>
      <c r="S40" s="4"/>
      <c r="T40" s="4"/>
      <c r="U40" s="4"/>
      <c r="V40" s="4"/>
      <c r="W40" s="4"/>
      <c r="X40" s="4"/>
      <c r="Y40" s="4"/>
      <c r="Z40" s="4"/>
    </row>
    <row r="41" spans="1:26" ht="28" x14ac:dyDescent="0.15">
      <c r="A41" s="8" t="s">
        <v>116</v>
      </c>
      <c r="B41" s="4" t="s">
        <v>121</v>
      </c>
      <c r="C41" s="4" t="s">
        <v>122</v>
      </c>
      <c r="D41" s="9">
        <v>21</v>
      </c>
      <c r="E41" s="4" t="s">
        <v>123</v>
      </c>
      <c r="F41" s="4"/>
      <c r="G41" s="4"/>
      <c r="H41" s="4"/>
      <c r="I41" s="4" t="b">
        <f>'first score'!H41='second score'!H41</f>
        <v>1</v>
      </c>
      <c r="J41" s="4" t="b">
        <f>'first score'!I41='second score'!I41</f>
        <v>1</v>
      </c>
      <c r="K41" s="4" t="b">
        <f>'first score'!J41='second score'!J41</f>
        <v>1</v>
      </c>
      <c r="L41" s="4"/>
      <c r="M41" s="4" t="b">
        <f t="shared" si="1"/>
        <v>1</v>
      </c>
      <c r="N41" s="4">
        <f>AVERAGE('first score'!H41:'first score'!J41)</f>
        <v>3</v>
      </c>
      <c r="O41" s="4">
        <f>AVERAGE('second score'!H41:'second score'!J41)</f>
        <v>3</v>
      </c>
      <c r="P41" s="4"/>
      <c r="Q41" s="4"/>
      <c r="R41" s="4"/>
      <c r="S41" s="4"/>
      <c r="T41" s="4"/>
      <c r="U41" s="4"/>
      <c r="V41" s="4"/>
      <c r="W41" s="4"/>
      <c r="X41" s="4"/>
      <c r="Y41" s="4"/>
      <c r="Z41" s="4"/>
    </row>
    <row r="42" spans="1:26" ht="28" x14ac:dyDescent="0.15">
      <c r="A42" s="8" t="s">
        <v>116</v>
      </c>
      <c r="B42" s="4" t="s">
        <v>121</v>
      </c>
      <c r="C42" s="4"/>
      <c r="D42" s="9">
        <v>22</v>
      </c>
      <c r="E42" s="4" t="s">
        <v>124</v>
      </c>
      <c r="F42" s="4" t="s">
        <v>125</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x14ac:dyDescent="0.15">
      <c r="A43" s="8" t="s">
        <v>116</v>
      </c>
      <c r="B43" s="4" t="s">
        <v>121</v>
      </c>
      <c r="C43" s="4" t="s">
        <v>127</v>
      </c>
      <c r="D43" s="9">
        <v>23</v>
      </c>
      <c r="E43" s="4" t="s">
        <v>128</v>
      </c>
      <c r="F43" s="4"/>
      <c r="G43" s="4"/>
      <c r="H43" s="4"/>
      <c r="I43" s="4" t="b">
        <f>'first score'!H43='second score'!H43</f>
        <v>1</v>
      </c>
      <c r="J43" s="4" t="b">
        <f>'first score'!I43='second score'!I43</f>
        <v>1</v>
      </c>
      <c r="K43" s="4" t="b">
        <f>'first score'!J43='second score'!J43</f>
        <v>1</v>
      </c>
      <c r="L43" s="4"/>
      <c r="M43" s="4" t="b">
        <f t="shared" si="1"/>
        <v>1</v>
      </c>
      <c r="N43" s="4">
        <f>AVERAGE('first score'!H43:'first score'!J43)</f>
        <v>2</v>
      </c>
      <c r="O43" s="4">
        <f>AVERAGE('second score'!H43:'second score'!J43)</f>
        <v>2</v>
      </c>
      <c r="P43" s="4"/>
      <c r="Q43" s="4"/>
      <c r="R43" s="4"/>
      <c r="S43" s="4"/>
      <c r="T43" s="4"/>
      <c r="U43" s="4"/>
      <c r="V43" s="4"/>
      <c r="W43" s="4"/>
      <c r="X43" s="4"/>
      <c r="Y43" s="4"/>
      <c r="Z43" s="4"/>
    </row>
    <row r="44" spans="1:26" ht="28" x14ac:dyDescent="0.15">
      <c r="A44" s="8" t="s">
        <v>116</v>
      </c>
      <c r="B44" s="4" t="s">
        <v>121</v>
      </c>
      <c r="C44" s="4" t="s">
        <v>130</v>
      </c>
      <c r="D44" s="9" t="s">
        <v>131</v>
      </c>
      <c r="E44" s="4" t="s">
        <v>132</v>
      </c>
      <c r="F44" s="4"/>
      <c r="G44" s="4"/>
      <c r="H44" s="4"/>
      <c r="I44" s="4" t="b">
        <f>'first score'!H44='second score'!H44</f>
        <v>1</v>
      </c>
      <c r="J44" s="4" t="b">
        <f>'first score'!I44='second score'!I44</f>
        <v>1</v>
      </c>
      <c r="K44" s="4" t="b">
        <f>'first score'!J44='second score'!J44</f>
        <v>1</v>
      </c>
      <c r="L44" s="4"/>
      <c r="M44" s="4" t="b">
        <f t="shared" si="1"/>
        <v>1</v>
      </c>
      <c r="N44" s="4">
        <f>AVERAGE('first score'!H44:'first score'!J44)</f>
        <v>2.6666666666666665</v>
      </c>
      <c r="O44" s="4">
        <f>AVERAGE('second score'!H44:'second score'!J44)</f>
        <v>2.6666666666666665</v>
      </c>
      <c r="P44" s="4"/>
      <c r="Q44" s="4"/>
      <c r="R44" s="4"/>
      <c r="S44" s="4"/>
      <c r="T44" s="4"/>
      <c r="U44" s="4"/>
      <c r="V44" s="4"/>
      <c r="W44" s="4"/>
      <c r="X44" s="4"/>
      <c r="Y44" s="4"/>
      <c r="Z44" s="4"/>
    </row>
    <row r="45" spans="1:26" ht="28" x14ac:dyDescent="0.15">
      <c r="A45" s="8" t="s">
        <v>116</v>
      </c>
      <c r="B45" s="4" t="s">
        <v>121</v>
      </c>
      <c r="C45" s="4" t="s">
        <v>130</v>
      </c>
      <c r="D45" s="9" t="s">
        <v>135</v>
      </c>
      <c r="E45" s="4" t="s">
        <v>136</v>
      </c>
      <c r="F45" s="4"/>
      <c r="G45" s="4"/>
      <c r="H45" s="4"/>
      <c r="I45" s="4" t="b">
        <f>'first score'!H45='second score'!H45</f>
        <v>1</v>
      </c>
      <c r="J45" s="4" t="b">
        <f>'first score'!I45='second score'!I45</f>
        <v>1</v>
      </c>
      <c r="K45" s="4" t="b">
        <f>'first score'!J45='second score'!J45</f>
        <v>1</v>
      </c>
      <c r="L45" s="4"/>
      <c r="M45" s="4" t="b">
        <f t="shared" si="1"/>
        <v>1</v>
      </c>
      <c r="N45" s="4">
        <f>AVERAGE('first score'!H45:'first score'!J45)</f>
        <v>2</v>
      </c>
      <c r="O45" s="4">
        <f>AVERAGE('second score'!H45:'second score'!J45)</f>
        <v>2</v>
      </c>
      <c r="P45" s="4"/>
      <c r="Q45" s="4"/>
      <c r="R45" s="4"/>
      <c r="S45" s="4"/>
      <c r="T45" s="4"/>
      <c r="U45" s="4"/>
      <c r="V45" s="4"/>
      <c r="W45" s="4"/>
      <c r="X45" s="4"/>
      <c r="Y45" s="4"/>
      <c r="Z45" s="4"/>
    </row>
    <row r="46" spans="1:26" ht="28" x14ac:dyDescent="0.15">
      <c r="A46" s="8" t="s">
        <v>116</v>
      </c>
      <c r="B46" s="4" t="s">
        <v>121</v>
      </c>
      <c r="C46" s="4" t="s">
        <v>130</v>
      </c>
      <c r="D46" s="9" t="s">
        <v>138</v>
      </c>
      <c r="E46" s="4" t="s">
        <v>139</v>
      </c>
      <c r="F46" s="4"/>
      <c r="G46" s="4"/>
      <c r="H46" s="4"/>
      <c r="I46" s="4" t="b">
        <f>'first score'!H46='second score'!H46</f>
        <v>1</v>
      </c>
      <c r="J46" s="4" t="b">
        <f>'first score'!I46='second score'!I46</f>
        <v>1</v>
      </c>
      <c r="K46" s="4" t="b">
        <f>'first score'!J46='second score'!J46</f>
        <v>1</v>
      </c>
      <c r="L46" s="4"/>
      <c r="M46" s="4" t="b">
        <f t="shared" si="1"/>
        <v>1</v>
      </c>
      <c r="N46" s="4">
        <f>AVERAGE('first score'!H46:'first score'!J46)</f>
        <v>3</v>
      </c>
      <c r="O46" s="4">
        <f>AVERAGE('second score'!H46:'second score'!J46)</f>
        <v>3</v>
      </c>
      <c r="P46" s="4"/>
      <c r="Q46" s="4"/>
      <c r="R46" s="4"/>
      <c r="S46" s="4"/>
      <c r="T46" s="4"/>
      <c r="U46" s="4"/>
      <c r="V46" s="4"/>
      <c r="W46" s="4"/>
      <c r="X46" s="4"/>
      <c r="Y46" s="4"/>
      <c r="Z46" s="4"/>
    </row>
    <row r="47" spans="1:26" ht="56" x14ac:dyDescent="0.15">
      <c r="A47" s="8" t="s">
        <v>116</v>
      </c>
      <c r="B47" s="4" t="s">
        <v>121</v>
      </c>
      <c r="C47" s="4" t="s">
        <v>140</v>
      </c>
      <c r="D47" s="9" t="s">
        <v>141</v>
      </c>
      <c r="E47" s="4" t="s">
        <v>142</v>
      </c>
      <c r="F47" s="4" t="s">
        <v>143</v>
      </c>
      <c r="G47" s="4"/>
      <c r="H47" s="4"/>
      <c r="I47" s="4" t="b">
        <f>'first score'!H47='second score'!H47</f>
        <v>1</v>
      </c>
      <c r="J47" s="4" t="b">
        <f>'first score'!I47='second score'!I47</f>
        <v>1</v>
      </c>
      <c r="K47" s="4" t="b">
        <f>'first score'!J47='second score'!J47</f>
        <v>1</v>
      </c>
      <c r="L47" s="4"/>
      <c r="M47" s="4" t="b">
        <f t="shared" si="1"/>
        <v>1</v>
      </c>
      <c r="N47" s="4">
        <f>AVERAGE('first score'!H47:'first score'!J47)</f>
        <v>3</v>
      </c>
      <c r="O47" s="4">
        <f>AVERAGE('second score'!H47:'second score'!J47)</f>
        <v>3</v>
      </c>
      <c r="P47" s="4"/>
      <c r="Q47" s="4"/>
      <c r="R47" s="4"/>
      <c r="S47" s="4"/>
      <c r="T47" s="4"/>
      <c r="U47" s="4"/>
      <c r="V47" s="4"/>
      <c r="W47" s="4"/>
      <c r="X47" s="4"/>
      <c r="Y47" s="4"/>
      <c r="Z47" s="4"/>
    </row>
    <row r="48" spans="1:26" ht="28" x14ac:dyDescent="0.15">
      <c r="A48" s="8" t="s">
        <v>116</v>
      </c>
      <c r="B48" s="4" t="s">
        <v>121</v>
      </c>
      <c r="C48" s="4" t="s">
        <v>140</v>
      </c>
      <c r="D48" s="9" t="s">
        <v>145</v>
      </c>
      <c r="E48" s="4" t="s">
        <v>146</v>
      </c>
      <c r="F48" s="4" t="s">
        <v>147</v>
      </c>
      <c r="G48" s="4"/>
      <c r="H48" s="4"/>
      <c r="I48" s="4" t="b">
        <f>'first score'!H48='second score'!H48</f>
        <v>1</v>
      </c>
      <c r="J48" s="4" t="b">
        <f>'first score'!I48='second score'!I48</f>
        <v>1</v>
      </c>
      <c r="K48" s="4" t="b">
        <f>'first score'!J48='second score'!J48</f>
        <v>1</v>
      </c>
      <c r="L48" s="4"/>
      <c r="M48" s="4" t="b">
        <f t="shared" si="1"/>
        <v>1</v>
      </c>
      <c r="N48" s="4">
        <f>AVERAGE('first score'!H48:'first score'!J48)</f>
        <v>2</v>
      </c>
      <c r="O48" s="4">
        <f>AVERAGE('second score'!H48:'second score'!J48)</f>
        <v>3</v>
      </c>
      <c r="P48" s="4"/>
      <c r="Q48" s="4"/>
      <c r="R48" s="4"/>
      <c r="S48" s="4"/>
      <c r="T48" s="4"/>
      <c r="U48" s="4"/>
      <c r="V48" s="4"/>
      <c r="W48" s="4"/>
      <c r="X48" s="4"/>
      <c r="Y48" s="4"/>
      <c r="Z48" s="4"/>
    </row>
    <row r="49" spans="1:26" ht="28" hidden="1" x14ac:dyDescent="0.15">
      <c r="A49" s="8" t="s">
        <v>25</v>
      </c>
      <c r="B49" s="4" t="s">
        <v>150</v>
      </c>
      <c r="C49" s="4" t="s">
        <v>151</v>
      </c>
      <c r="D49" s="9"/>
      <c r="E49" s="4" t="s">
        <v>152</v>
      </c>
      <c r="F49" s="4"/>
      <c r="G49" s="4"/>
      <c r="H49" s="4"/>
      <c r="I49" s="4"/>
      <c r="J49" s="4"/>
      <c r="K49" s="4"/>
      <c r="L49" s="4"/>
      <c r="M49" s="4"/>
      <c r="N49" s="4"/>
      <c r="O49" s="4"/>
      <c r="P49" s="4"/>
      <c r="Q49" s="4"/>
      <c r="R49" s="4"/>
      <c r="S49" s="4"/>
      <c r="T49" s="4"/>
      <c r="U49" s="4"/>
      <c r="V49" s="4"/>
      <c r="W49" s="4"/>
      <c r="X49" s="4"/>
      <c r="Y49" s="4"/>
      <c r="Z49" s="4"/>
    </row>
    <row r="50" spans="1:26" ht="42" x14ac:dyDescent="0.15">
      <c r="A50" s="8" t="s">
        <v>153</v>
      </c>
      <c r="B50" s="4" t="s">
        <v>150</v>
      </c>
      <c r="C50" s="4" t="s">
        <v>151</v>
      </c>
      <c r="D50" s="9" t="s">
        <v>154</v>
      </c>
      <c r="E50" s="4" t="s">
        <v>155</v>
      </c>
      <c r="F50" s="4" t="s">
        <v>156</v>
      </c>
      <c r="G50" s="4"/>
      <c r="H50" s="4"/>
      <c r="I50" s="4" t="b">
        <f>'first score'!H50='second score'!H50</f>
        <v>1</v>
      </c>
      <c r="J50" s="4" t="b">
        <f>'first score'!I50='second score'!I50</f>
        <v>1</v>
      </c>
      <c r="K50" s="4" t="b">
        <f>'first score'!J50='second score'!J50</f>
        <v>1</v>
      </c>
      <c r="L50" s="4"/>
      <c r="M50" s="4" t="b">
        <f t="shared" ref="M50:M67" si="2">AND(I50:K50)</f>
        <v>1</v>
      </c>
      <c r="N50" s="4">
        <f>AVERAGE('first score'!H50:'first score'!J50)</f>
        <v>3</v>
      </c>
      <c r="O50" s="4">
        <f>AVERAGE('second score'!H50:'second score'!J50)</f>
        <v>3</v>
      </c>
      <c r="P50" s="4"/>
      <c r="Q50" s="4"/>
      <c r="R50" s="4"/>
      <c r="S50" s="4"/>
      <c r="T50" s="4"/>
      <c r="U50" s="4"/>
      <c r="V50" s="4"/>
      <c r="W50" s="4"/>
      <c r="X50" s="4"/>
      <c r="Y50" s="4"/>
      <c r="Z50" s="4"/>
    </row>
    <row r="51" spans="1:26" ht="28" x14ac:dyDescent="0.15">
      <c r="A51" s="8" t="s">
        <v>153</v>
      </c>
      <c r="B51" s="4" t="s">
        <v>150</v>
      </c>
      <c r="C51" s="4" t="s">
        <v>151</v>
      </c>
      <c r="D51" s="9" t="s">
        <v>158</v>
      </c>
      <c r="E51" s="4" t="s">
        <v>159</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x14ac:dyDescent="0.15">
      <c r="A52" s="8" t="s">
        <v>153</v>
      </c>
      <c r="B52" s="4" t="s">
        <v>150</v>
      </c>
      <c r="C52" s="4" t="s">
        <v>151</v>
      </c>
      <c r="D52" s="9" t="s">
        <v>162</v>
      </c>
      <c r="E52" s="4" t="s">
        <v>163</v>
      </c>
      <c r="F52" s="4"/>
      <c r="G52" s="4"/>
      <c r="H52" s="4"/>
      <c r="I52" s="4" t="b">
        <f>'first score'!H52='second score'!H52</f>
        <v>1</v>
      </c>
      <c r="J52" s="4" t="b">
        <f>'first score'!I52='second score'!I52</f>
        <v>1</v>
      </c>
      <c r="K52" s="4" t="b">
        <f>'first score'!J52='second score'!J52</f>
        <v>1</v>
      </c>
      <c r="L52" s="4"/>
      <c r="M52" s="4" t="b">
        <f t="shared" si="2"/>
        <v>1</v>
      </c>
      <c r="N52" s="4">
        <f>AVERAGE('first score'!H52:'first score'!J52)</f>
        <v>3</v>
      </c>
      <c r="O52" s="4">
        <f>AVERAGE('second score'!H52:'second score'!J52)</f>
        <v>3</v>
      </c>
      <c r="P52" s="4"/>
      <c r="Q52" s="4"/>
      <c r="R52" s="4"/>
      <c r="S52" s="4"/>
      <c r="T52" s="4"/>
      <c r="U52" s="4"/>
      <c r="V52" s="4"/>
      <c r="W52" s="4"/>
      <c r="X52" s="4"/>
      <c r="Y52" s="4"/>
      <c r="Z52" s="4"/>
    </row>
    <row r="53" spans="1:26" ht="28" x14ac:dyDescent="0.15">
      <c r="A53" s="8" t="s">
        <v>165</v>
      </c>
      <c r="B53" s="4" t="s">
        <v>150</v>
      </c>
      <c r="C53" s="4" t="s">
        <v>166</v>
      </c>
      <c r="D53" s="9" t="s">
        <v>167</v>
      </c>
      <c r="E53" s="4" t="s">
        <v>168</v>
      </c>
      <c r="F53" s="4"/>
      <c r="G53" s="4"/>
      <c r="H53" s="4"/>
      <c r="I53" s="4" t="b">
        <f>'first score'!H53='second score'!H53</f>
        <v>1</v>
      </c>
      <c r="J53" s="4" t="b">
        <f>'first score'!I53='second score'!I53</f>
        <v>1</v>
      </c>
      <c r="K53" s="4" t="b">
        <f>'first score'!J53='second score'!J53</f>
        <v>1</v>
      </c>
      <c r="L53" s="4"/>
      <c r="M53" s="4" t="b">
        <f t="shared" si="2"/>
        <v>1</v>
      </c>
      <c r="N53" s="4">
        <f>AVERAGE('first score'!H53:'first score'!J53)</f>
        <v>3</v>
      </c>
      <c r="O53" s="4">
        <f>AVERAGE('second score'!H53:'second score'!J53)</f>
        <v>3</v>
      </c>
      <c r="P53" s="4"/>
      <c r="Q53" s="4"/>
      <c r="R53" s="4"/>
      <c r="S53" s="4"/>
      <c r="T53" s="4"/>
      <c r="U53" s="4"/>
      <c r="V53" s="4"/>
      <c r="W53" s="4"/>
      <c r="X53" s="4"/>
      <c r="Y53" s="4"/>
      <c r="Z53" s="4"/>
    </row>
    <row r="54" spans="1:26" ht="14" x14ac:dyDescent="0.15">
      <c r="A54" s="8" t="s">
        <v>165</v>
      </c>
      <c r="B54" s="4"/>
      <c r="C54" s="4"/>
      <c r="D54" s="9" t="s">
        <v>167</v>
      </c>
      <c r="E54" s="4" t="s">
        <v>169</v>
      </c>
      <c r="F54" s="4" t="s">
        <v>170</v>
      </c>
      <c r="G54" s="4"/>
      <c r="H54" s="4"/>
      <c r="I54" s="4" t="b">
        <f>'first score'!H54='second score'!H54</f>
        <v>1</v>
      </c>
      <c r="J54" s="4" t="b">
        <f>'first score'!I54='second score'!I54</f>
        <v>1</v>
      </c>
      <c r="K54" s="4" t="b">
        <f>'first score'!J54='second score'!J54</f>
        <v>1</v>
      </c>
      <c r="L54" s="4"/>
      <c r="M54" s="4" t="b">
        <f t="shared" si="2"/>
        <v>1</v>
      </c>
      <c r="N54" s="4">
        <f>AVERAGE('first score'!H54:'first score'!J54)</f>
        <v>3</v>
      </c>
      <c r="O54" s="4">
        <f>AVERAGE('second score'!H54:'second score'!J54)</f>
        <v>3</v>
      </c>
      <c r="P54" s="4"/>
      <c r="Q54" s="4"/>
      <c r="R54" s="4"/>
      <c r="S54" s="4"/>
      <c r="T54" s="4"/>
      <c r="U54" s="4"/>
      <c r="V54" s="4"/>
      <c r="W54" s="4"/>
      <c r="X54" s="4"/>
      <c r="Y54" s="4"/>
      <c r="Z54" s="4"/>
    </row>
    <row r="55" spans="1:26" ht="56" x14ac:dyDescent="0.15">
      <c r="A55" s="8" t="s">
        <v>165</v>
      </c>
      <c r="B55" s="4"/>
      <c r="C55" s="4"/>
      <c r="D55" s="9" t="s">
        <v>167</v>
      </c>
      <c r="E55" s="4" t="s">
        <v>171</v>
      </c>
      <c r="F55" s="4" t="s">
        <v>172</v>
      </c>
      <c r="G55" s="4"/>
      <c r="H55" s="4"/>
      <c r="I55" s="4" t="b">
        <f>'first score'!H55='second score'!H55</f>
        <v>1</v>
      </c>
      <c r="J55" s="4" t="b">
        <f>'first score'!I55='second score'!I55</f>
        <v>1</v>
      </c>
      <c r="K55" s="4" t="b">
        <f>'first score'!J55='second score'!J55</f>
        <v>1</v>
      </c>
      <c r="L55" s="4"/>
      <c r="M55" s="4" t="b">
        <f t="shared" si="2"/>
        <v>1</v>
      </c>
      <c r="N55" s="4">
        <f>AVERAGE('first score'!H55:'first score'!J55)</f>
        <v>2.6666666666666665</v>
      </c>
      <c r="O55" s="4">
        <f>AVERAGE('second score'!H55:'second score'!J55)</f>
        <v>2.6666666666666665</v>
      </c>
      <c r="P55" s="4"/>
      <c r="Q55" s="4"/>
      <c r="R55" s="4"/>
      <c r="S55" s="4"/>
      <c r="T55" s="4"/>
      <c r="U55" s="4"/>
      <c r="V55" s="4"/>
      <c r="W55" s="4"/>
      <c r="X55" s="4"/>
      <c r="Y55" s="4"/>
      <c r="Z55" s="4"/>
    </row>
    <row r="56" spans="1:26" ht="56" x14ac:dyDescent="0.15">
      <c r="A56" s="8" t="s">
        <v>165</v>
      </c>
      <c r="B56" s="4" t="s">
        <v>150</v>
      </c>
      <c r="C56" s="4" t="s">
        <v>166</v>
      </c>
      <c r="D56" s="9" t="s">
        <v>167</v>
      </c>
      <c r="E56" s="4" t="s">
        <v>174</v>
      </c>
      <c r="F56" s="4" t="s">
        <v>175</v>
      </c>
      <c r="G56" s="4"/>
      <c r="H56" s="4"/>
      <c r="I56" s="4" t="b">
        <f>'first score'!H56='second score'!H56</f>
        <v>1</v>
      </c>
      <c r="J56" s="4" t="b">
        <f>'first score'!I56='second score'!I56</f>
        <v>1</v>
      </c>
      <c r="K56" s="4" t="b">
        <f>'first score'!J56='second score'!J56</f>
        <v>1</v>
      </c>
      <c r="L56" s="4"/>
      <c r="M56" s="4" t="b">
        <f t="shared" si="2"/>
        <v>1</v>
      </c>
      <c r="N56" s="4">
        <f>AVERAGE('first score'!H56:'first score'!J56)</f>
        <v>2.6666666666666665</v>
      </c>
      <c r="O56" s="4">
        <f>AVERAGE('second score'!H56:'second score'!J56)</f>
        <v>2.6666666666666665</v>
      </c>
      <c r="P56" s="4"/>
      <c r="Q56" s="4"/>
      <c r="R56" s="4"/>
      <c r="S56" s="4"/>
      <c r="T56" s="4"/>
      <c r="U56" s="4"/>
      <c r="V56" s="4"/>
      <c r="W56" s="4"/>
      <c r="X56" s="4"/>
      <c r="Y56" s="4"/>
      <c r="Z56" s="4"/>
    </row>
    <row r="57" spans="1:26" ht="70" x14ac:dyDescent="0.15">
      <c r="A57" s="8" t="s">
        <v>165</v>
      </c>
      <c r="B57" s="4"/>
      <c r="C57" s="4"/>
      <c r="D57" s="9" t="s">
        <v>167</v>
      </c>
      <c r="E57" s="4" t="s">
        <v>177</v>
      </c>
      <c r="F57" s="4" t="s">
        <v>178</v>
      </c>
      <c r="G57" s="4"/>
      <c r="H57" s="4"/>
      <c r="I57" s="4" t="b">
        <f>'first score'!H57='second score'!H57</f>
        <v>1</v>
      </c>
      <c r="J57" s="4" t="b">
        <f>'first score'!I57='second score'!I57</f>
        <v>1</v>
      </c>
      <c r="K57" s="4" t="b">
        <f>'first score'!J57='second score'!J57</f>
        <v>1</v>
      </c>
      <c r="L57" s="4"/>
      <c r="M57" s="4" t="b">
        <f t="shared" si="2"/>
        <v>1</v>
      </c>
      <c r="N57" s="4">
        <f>AVERAGE('first score'!H57:'first score'!J57)</f>
        <v>3</v>
      </c>
      <c r="O57" s="4">
        <f>AVERAGE('second score'!H57:'second score'!J57)</f>
        <v>3</v>
      </c>
      <c r="P57" s="4"/>
      <c r="Q57" s="4"/>
      <c r="R57" s="4"/>
      <c r="S57" s="4"/>
      <c r="T57" s="4"/>
      <c r="U57" s="4"/>
      <c r="V57" s="4"/>
      <c r="W57" s="4"/>
      <c r="X57" s="4"/>
      <c r="Y57" s="4"/>
      <c r="Z57" s="4"/>
    </row>
    <row r="58" spans="1:26" ht="14" x14ac:dyDescent="0.15">
      <c r="A58" s="8" t="s">
        <v>165</v>
      </c>
      <c r="B58" s="4"/>
      <c r="C58" s="4"/>
      <c r="D58" s="9" t="s">
        <v>167</v>
      </c>
      <c r="E58" s="4" t="s">
        <v>179</v>
      </c>
      <c r="F58" s="4"/>
      <c r="G58" s="4"/>
      <c r="H58" s="4"/>
      <c r="I58" s="4" t="b">
        <f>'first score'!H58='second score'!H58</f>
        <v>1</v>
      </c>
      <c r="J58" s="4" t="b">
        <f>'first score'!I58='second score'!I58</f>
        <v>1</v>
      </c>
      <c r="K58" s="4" t="b">
        <f>'first score'!J58='second score'!J58</f>
        <v>1</v>
      </c>
      <c r="L58" s="4"/>
      <c r="M58" s="4" t="b">
        <f t="shared" si="2"/>
        <v>1</v>
      </c>
      <c r="N58" s="4">
        <f>AVERAGE('first score'!H58:'first score'!J58)</f>
        <v>2.3333333333333335</v>
      </c>
      <c r="O58" s="4">
        <f>AVERAGE('second score'!H58:'second score'!J58)</f>
        <v>2.3333333333333335</v>
      </c>
      <c r="P58" s="4"/>
      <c r="Q58" s="4"/>
      <c r="R58" s="4"/>
      <c r="S58" s="4"/>
      <c r="T58" s="4"/>
      <c r="U58" s="4"/>
      <c r="V58" s="4"/>
      <c r="W58" s="4"/>
      <c r="X58" s="4"/>
      <c r="Y58" s="4"/>
      <c r="Z58" s="4"/>
    </row>
    <row r="59" spans="1:26" ht="14" x14ac:dyDescent="0.15">
      <c r="A59" s="8" t="s">
        <v>165</v>
      </c>
      <c r="B59" s="4"/>
      <c r="C59" s="4"/>
      <c r="D59" s="9" t="s">
        <v>167</v>
      </c>
      <c r="E59" s="4" t="s">
        <v>182</v>
      </c>
      <c r="F59" s="4"/>
      <c r="G59" s="4"/>
      <c r="H59" s="4"/>
      <c r="I59" s="4" t="b">
        <f>'first score'!H59='second score'!H59</f>
        <v>1</v>
      </c>
      <c r="J59" s="4" t="b">
        <f>'first score'!I59='second score'!I59</f>
        <v>1</v>
      </c>
      <c r="K59" s="4" t="b">
        <f>'first score'!J59='second score'!J59</f>
        <v>1</v>
      </c>
      <c r="L59" s="4"/>
      <c r="M59" s="4" t="b">
        <f t="shared" si="2"/>
        <v>1</v>
      </c>
      <c r="N59" s="4">
        <f>AVERAGE('first score'!H59:'first score'!J59)</f>
        <v>3</v>
      </c>
      <c r="O59" s="4">
        <f>AVERAGE('second score'!H59:'second score'!J59)</f>
        <v>3</v>
      </c>
      <c r="P59" s="4"/>
      <c r="Q59" s="4"/>
      <c r="R59" s="4"/>
      <c r="S59" s="4"/>
      <c r="T59" s="4"/>
      <c r="U59" s="4"/>
      <c r="V59" s="4"/>
      <c r="W59" s="4"/>
      <c r="X59" s="4"/>
      <c r="Y59" s="4"/>
      <c r="Z59" s="4"/>
    </row>
    <row r="60" spans="1:26" ht="14" x14ac:dyDescent="0.15">
      <c r="A60" s="8" t="s">
        <v>165</v>
      </c>
      <c r="B60" s="4"/>
      <c r="C60" s="4"/>
      <c r="D60" s="9" t="s">
        <v>167</v>
      </c>
      <c r="E60" s="4" t="s">
        <v>183</v>
      </c>
      <c r="F60" s="4"/>
      <c r="G60" s="4"/>
      <c r="H60" s="4"/>
      <c r="I60" s="4" t="b">
        <f>'first score'!H60='second score'!H60</f>
        <v>1</v>
      </c>
      <c r="J60" s="4" t="b">
        <f>'first score'!I60='second score'!I60</f>
        <v>1</v>
      </c>
      <c r="K60" s="4" t="b">
        <f>'first score'!J60='second score'!J60</f>
        <v>1</v>
      </c>
      <c r="L60" s="4"/>
      <c r="M60" s="4" t="b">
        <f t="shared" si="2"/>
        <v>1</v>
      </c>
      <c r="N60" s="4">
        <f>AVERAGE('first score'!H60:'first score'!J60)</f>
        <v>3</v>
      </c>
      <c r="O60" s="4">
        <f>AVERAGE('second score'!H60:'second score'!J60)</f>
        <v>3</v>
      </c>
      <c r="P60" s="4"/>
      <c r="Q60" s="4"/>
      <c r="R60" s="4"/>
      <c r="S60" s="4"/>
      <c r="T60" s="4"/>
      <c r="U60" s="4"/>
      <c r="V60" s="4"/>
      <c r="W60" s="4"/>
      <c r="X60" s="4"/>
      <c r="Y60" s="4"/>
      <c r="Z60" s="4"/>
    </row>
    <row r="61" spans="1:26" ht="28" x14ac:dyDescent="0.15">
      <c r="A61" s="8" t="s">
        <v>184</v>
      </c>
      <c r="B61" s="4" t="s">
        <v>150</v>
      </c>
      <c r="C61" s="4" t="s">
        <v>166</v>
      </c>
      <c r="D61" s="9" t="s">
        <v>185</v>
      </c>
      <c r="E61" s="4" t="s">
        <v>186</v>
      </c>
      <c r="F61" s="4"/>
      <c r="G61" s="4"/>
      <c r="H61" s="4"/>
      <c r="I61" s="4" t="b">
        <f>'first score'!H61='second score'!H61</f>
        <v>1</v>
      </c>
      <c r="J61" s="4" t="b">
        <f>'first score'!I61='second score'!I61</f>
        <v>1</v>
      </c>
      <c r="K61" s="4" t="b">
        <f>'first score'!J61='second score'!J61</f>
        <v>1</v>
      </c>
      <c r="L61" s="4"/>
      <c r="M61" s="4" t="b">
        <f t="shared" si="2"/>
        <v>1</v>
      </c>
      <c r="N61" s="4">
        <f>AVERAGE('first score'!H61:'first score'!J61)</f>
        <v>3</v>
      </c>
      <c r="O61" s="4">
        <f>AVERAGE('second score'!H61:'second score'!J61)</f>
        <v>3</v>
      </c>
      <c r="P61" s="4"/>
      <c r="Q61" s="4"/>
      <c r="R61" s="4"/>
      <c r="S61" s="4"/>
      <c r="T61" s="4"/>
      <c r="U61" s="4"/>
      <c r="V61" s="4"/>
      <c r="W61" s="4"/>
      <c r="X61" s="4"/>
      <c r="Y61" s="4"/>
      <c r="Z61" s="4"/>
    </row>
    <row r="62" spans="1:26" ht="42" x14ac:dyDescent="0.15">
      <c r="A62" s="8" t="s">
        <v>184</v>
      </c>
      <c r="B62" s="4" t="s">
        <v>150</v>
      </c>
      <c r="C62" s="4" t="s">
        <v>166</v>
      </c>
      <c r="D62" s="9" t="s">
        <v>187</v>
      </c>
      <c r="E62" s="4" t="s">
        <v>188</v>
      </c>
      <c r="F62" s="4"/>
      <c r="G62" s="4"/>
      <c r="H62" s="4"/>
      <c r="I62" s="4" t="b">
        <f>'first score'!H62='second score'!H62</f>
        <v>1</v>
      </c>
      <c r="J62" s="4" t="b">
        <f>'first score'!I62='second score'!I62</f>
        <v>1</v>
      </c>
      <c r="K62" s="4" t="b">
        <f>'first score'!J62='second score'!J62</f>
        <v>1</v>
      </c>
      <c r="L62" s="4"/>
      <c r="M62" s="4" t="b">
        <f t="shared" si="2"/>
        <v>1</v>
      </c>
      <c r="N62" s="4">
        <f>AVERAGE('first score'!H62:'first score'!J62)</f>
        <v>3</v>
      </c>
      <c r="O62" s="4">
        <f>AVERAGE('second score'!H62:'second score'!J62)</f>
        <v>3</v>
      </c>
      <c r="P62" s="4"/>
      <c r="Q62" s="4"/>
      <c r="R62" s="4"/>
      <c r="S62" s="4"/>
      <c r="T62" s="4"/>
      <c r="U62" s="4"/>
      <c r="V62" s="4"/>
      <c r="W62" s="4"/>
      <c r="X62" s="4"/>
      <c r="Y62" s="4"/>
      <c r="Z62" s="4"/>
    </row>
    <row r="63" spans="1:26" ht="28" x14ac:dyDescent="0.15">
      <c r="A63" s="8" t="s">
        <v>184</v>
      </c>
      <c r="B63" s="4" t="s">
        <v>150</v>
      </c>
      <c r="C63" s="4" t="s">
        <v>166</v>
      </c>
      <c r="D63" s="9" t="s">
        <v>189</v>
      </c>
      <c r="E63" s="4" t="s">
        <v>190</v>
      </c>
      <c r="F63" s="4"/>
      <c r="G63" s="4"/>
      <c r="H63" s="4"/>
      <c r="I63" s="4" t="b">
        <f>'first score'!H63='second score'!H63</f>
        <v>1</v>
      </c>
      <c r="J63" s="4" t="b">
        <f>'first score'!I63='second score'!I63</f>
        <v>1</v>
      </c>
      <c r="K63" s="4" t="b">
        <f>'first score'!J63='second score'!J63</f>
        <v>1</v>
      </c>
      <c r="L63" s="4"/>
      <c r="M63" s="4" t="b">
        <f t="shared" si="2"/>
        <v>1</v>
      </c>
      <c r="N63" s="4">
        <f>AVERAGE('first score'!H63:'first score'!J63)</f>
        <v>2.6666666666666665</v>
      </c>
      <c r="O63" s="4">
        <f>AVERAGE('second score'!H63:'second score'!J63)</f>
        <v>2.6666666666666665</v>
      </c>
      <c r="P63" s="4"/>
      <c r="Q63" s="4"/>
      <c r="R63" s="4"/>
      <c r="S63" s="4"/>
      <c r="T63" s="4"/>
      <c r="U63" s="4"/>
      <c r="V63" s="4"/>
      <c r="W63" s="4"/>
      <c r="X63" s="4"/>
      <c r="Y63" s="4"/>
      <c r="Z63" s="4"/>
    </row>
    <row r="64" spans="1:26" ht="28" x14ac:dyDescent="0.15">
      <c r="A64" s="8" t="s">
        <v>193</v>
      </c>
      <c r="B64" s="4" t="s">
        <v>150</v>
      </c>
      <c r="C64" s="4" t="s">
        <v>166</v>
      </c>
      <c r="D64" s="9" t="s">
        <v>194</v>
      </c>
      <c r="E64" s="4" t="s">
        <v>195</v>
      </c>
      <c r="F64" s="4"/>
      <c r="G64" s="4"/>
      <c r="H64" s="4"/>
      <c r="I64" s="4" t="b">
        <f>'first score'!H64='second score'!H64</f>
        <v>1</v>
      </c>
      <c r="J64" s="4" t="b">
        <f>'first score'!I64='second score'!I64</f>
        <v>1</v>
      </c>
      <c r="K64" s="4" t="b">
        <f>'first score'!J64='second score'!J64</f>
        <v>1</v>
      </c>
      <c r="L64" s="4"/>
      <c r="M64" s="4" t="b">
        <f t="shared" si="2"/>
        <v>1</v>
      </c>
      <c r="N64" s="4">
        <f>AVERAGE('first score'!H64:'first score'!J64)</f>
        <v>3</v>
      </c>
      <c r="O64" s="4">
        <f>AVERAGE('second score'!H64:'second score'!J64)</f>
        <v>3</v>
      </c>
      <c r="P64" s="4"/>
      <c r="Q64" s="4"/>
      <c r="R64" s="4"/>
      <c r="S64" s="4"/>
      <c r="T64" s="4"/>
      <c r="U64" s="4"/>
      <c r="V64" s="4"/>
      <c r="W64" s="4"/>
      <c r="X64" s="4"/>
      <c r="Y64" s="4"/>
      <c r="Z64" s="4"/>
    </row>
    <row r="65" spans="1:26" ht="28" x14ac:dyDescent="0.15">
      <c r="A65" s="8" t="s">
        <v>197</v>
      </c>
      <c r="B65" s="4" t="s">
        <v>150</v>
      </c>
      <c r="C65" s="4" t="s">
        <v>198</v>
      </c>
      <c r="D65" s="9">
        <v>28</v>
      </c>
      <c r="E65" s="4" t="s">
        <v>200</v>
      </c>
      <c r="F65" s="4"/>
      <c r="G65" s="4"/>
      <c r="H65" s="4"/>
      <c r="I65" s="4" t="b">
        <f>'first score'!H65='second score'!H65</f>
        <v>1</v>
      </c>
      <c r="J65" s="4" t="b">
        <f>'first score'!I65='second score'!I65</f>
        <v>1</v>
      </c>
      <c r="K65" s="4" t="b">
        <f>'first score'!J65='second score'!J65</f>
        <v>1</v>
      </c>
      <c r="L65" s="4"/>
      <c r="M65" s="4" t="b">
        <f t="shared" si="2"/>
        <v>1</v>
      </c>
      <c r="N65" s="4">
        <f>AVERAGE('first score'!H65:'first score'!J65)</f>
        <v>2</v>
      </c>
      <c r="O65" s="4">
        <f>AVERAGE('second score'!H65:'second score'!J65)</f>
        <v>2</v>
      </c>
      <c r="P65" s="4"/>
      <c r="Q65" s="4"/>
      <c r="R65" s="4"/>
      <c r="S65" s="4"/>
      <c r="T65" s="4"/>
      <c r="U65" s="4"/>
      <c r="V65" s="4"/>
      <c r="W65" s="4"/>
      <c r="X65" s="4"/>
      <c r="Y65" s="4"/>
      <c r="Z65" s="4"/>
    </row>
    <row r="66" spans="1:26" ht="42" x14ac:dyDescent="0.15">
      <c r="A66" s="8" t="s">
        <v>202</v>
      </c>
      <c r="B66" s="4" t="s">
        <v>150</v>
      </c>
      <c r="C66" s="4" t="s">
        <v>203</v>
      </c>
      <c r="D66" s="9">
        <v>29</v>
      </c>
      <c r="E66" s="4" t="s">
        <v>205</v>
      </c>
      <c r="F66" s="4" t="s">
        <v>206</v>
      </c>
      <c r="G66" s="4"/>
      <c r="H66" s="4"/>
      <c r="I66" s="4" t="b">
        <f>'first score'!H66='second score'!H66</f>
        <v>1</v>
      </c>
      <c r="J66" s="4" t="b">
        <f>'first score'!I66='second score'!I66</f>
        <v>1</v>
      </c>
      <c r="K66" s="4" t="b">
        <f>'first score'!J66='second score'!J66</f>
        <v>1</v>
      </c>
      <c r="L66" s="4"/>
      <c r="M66" s="4" t="b">
        <f t="shared" si="2"/>
        <v>1</v>
      </c>
      <c r="N66" s="4">
        <f>AVERAGE('first score'!H66:'first score'!J66)</f>
        <v>2.3333333333333335</v>
      </c>
      <c r="O66" s="4">
        <f>AVERAGE('second score'!H66:'second score'!J66)</f>
        <v>2.3333333333333335</v>
      </c>
      <c r="P66" s="4"/>
      <c r="Q66" s="4"/>
      <c r="R66" s="4"/>
      <c r="S66" s="4"/>
      <c r="T66" s="4"/>
      <c r="U66" s="4"/>
      <c r="V66" s="4"/>
      <c r="W66" s="4"/>
      <c r="X66" s="4"/>
      <c r="Y66" s="4"/>
      <c r="Z66" s="4"/>
    </row>
    <row r="67" spans="1:26" ht="84" x14ac:dyDescent="0.15">
      <c r="A67" s="8" t="s">
        <v>207</v>
      </c>
      <c r="B67" s="4" t="s">
        <v>150</v>
      </c>
      <c r="C67" s="4" t="s">
        <v>208</v>
      </c>
      <c r="D67" s="9">
        <v>30</v>
      </c>
      <c r="E67" s="4" t="s">
        <v>210</v>
      </c>
      <c r="F67" s="4" t="s">
        <v>206</v>
      </c>
      <c r="G67" s="4"/>
      <c r="H67" s="4"/>
      <c r="I67" s="4" t="b">
        <f>'first score'!H67='second score'!H67</f>
        <v>1</v>
      </c>
      <c r="J67" s="4" t="b">
        <f>'first score'!I67='second score'!I67</f>
        <v>1</v>
      </c>
      <c r="K67" s="4" t="b">
        <f>'first score'!J67='second score'!J67</f>
        <v>1</v>
      </c>
      <c r="L67" s="4"/>
      <c r="M67" s="4" t="b">
        <f t="shared" si="2"/>
        <v>1</v>
      </c>
      <c r="N67" s="4">
        <f>AVERAGE('first score'!H67:'first score'!J67)</f>
        <v>3</v>
      </c>
      <c r="O67" s="4">
        <f>AVERAGE('second score'!H67:'second score'!J67)</f>
        <v>3</v>
      </c>
      <c r="P67" s="4"/>
      <c r="Q67" s="4"/>
      <c r="R67" s="4"/>
      <c r="S67" s="4"/>
      <c r="T67" s="4"/>
      <c r="U67" s="4"/>
      <c r="V67" s="4"/>
      <c r="W67" s="4"/>
      <c r="X67" s="4"/>
      <c r="Y67" s="4"/>
      <c r="Z67" s="4"/>
    </row>
    <row r="68" spans="1:26" ht="28" hidden="1" x14ac:dyDescent="0.15">
      <c r="A68" s="4" t="s">
        <v>25</v>
      </c>
      <c r="B68" s="4" t="s">
        <v>150</v>
      </c>
      <c r="C68" s="4" t="s">
        <v>211</v>
      </c>
      <c r="D68" s="9">
        <v>31</v>
      </c>
      <c r="E68" s="4" t="s">
        <v>212</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25</v>
      </c>
      <c r="B69" s="4" t="s">
        <v>150</v>
      </c>
      <c r="C69" s="4" t="s">
        <v>213</v>
      </c>
      <c r="D69" s="9" t="s">
        <v>214</v>
      </c>
      <c r="E69" s="4" t="s">
        <v>215</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25</v>
      </c>
      <c r="B70" s="4" t="s">
        <v>150</v>
      </c>
      <c r="C70" s="4" t="s">
        <v>213</v>
      </c>
      <c r="D70" s="9" t="s">
        <v>216</v>
      </c>
      <c r="E70" s="4" t="s">
        <v>217</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25</v>
      </c>
      <c r="B71" s="4" t="s">
        <v>150</v>
      </c>
      <c r="C71" s="4" t="s">
        <v>213</v>
      </c>
      <c r="D71" s="9" t="s">
        <v>218</v>
      </c>
      <c r="E71" s="4" t="s">
        <v>219</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25</v>
      </c>
      <c r="B72" s="4" t="s">
        <v>150</v>
      </c>
      <c r="C72" s="4" t="s">
        <v>213</v>
      </c>
      <c r="D72" s="9" t="s">
        <v>218</v>
      </c>
      <c r="E72" s="4" t="s">
        <v>220</v>
      </c>
      <c r="F72" s="4"/>
      <c r="G72" s="4"/>
      <c r="H72" s="4"/>
      <c r="I72" s="4"/>
      <c r="J72" s="4"/>
      <c r="K72" s="4"/>
      <c r="L72" s="4"/>
      <c r="M72" s="4"/>
      <c r="N72" s="4"/>
      <c r="O72" s="4"/>
      <c r="P72" s="4"/>
      <c r="Q72" s="4"/>
      <c r="R72" s="4"/>
      <c r="S72" s="4"/>
      <c r="T72" s="4"/>
      <c r="U72" s="4"/>
      <c r="V72" s="4"/>
      <c r="W72" s="4"/>
      <c r="X72" s="4"/>
      <c r="Y72" s="4"/>
      <c r="Z72" s="4"/>
    </row>
    <row r="73" spans="1:26"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2026-09-23T07:54:55Z</dcterms:modified>
</cp:coreProperties>
</file>